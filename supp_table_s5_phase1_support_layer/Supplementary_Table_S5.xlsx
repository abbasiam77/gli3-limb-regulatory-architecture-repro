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D316594E-DFBE-4C14-8C49-3B3223C5E8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S5" sheetId="1" r:id="rId1"/>
  </sheets>
  <definedNames>
    <definedName name="_xlnm._FilterDatabase" localSheetId="0" hidden="1">'Table S5'!$A$5:$Q$18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K18" i="1"/>
  <c r="J18" i="1"/>
  <c r="I18" i="1"/>
  <c r="L18" i="1" s="1"/>
  <c r="N18" i="1" s="1"/>
  <c r="E18" i="1"/>
  <c r="M17" i="1"/>
  <c r="K17" i="1"/>
  <c r="J17" i="1"/>
  <c r="L17" i="1" s="1"/>
  <c r="N17" i="1" s="1"/>
  <c r="I17" i="1"/>
  <c r="E17" i="1"/>
  <c r="M16" i="1"/>
  <c r="K16" i="1"/>
  <c r="J16" i="1"/>
  <c r="I16" i="1"/>
  <c r="L16" i="1" s="1"/>
  <c r="N16" i="1" s="1"/>
  <c r="E16" i="1"/>
  <c r="M15" i="1"/>
  <c r="O15" i="1" s="1"/>
  <c r="P15" i="1" s="1"/>
  <c r="L15" i="1"/>
  <c r="N15" i="1" s="1"/>
  <c r="K15" i="1"/>
  <c r="J15" i="1"/>
  <c r="I15" i="1"/>
  <c r="E15" i="1"/>
  <c r="M14" i="1"/>
  <c r="K14" i="1"/>
  <c r="J14" i="1"/>
  <c r="I14" i="1"/>
  <c r="L14" i="1" s="1"/>
  <c r="N14" i="1" s="1"/>
  <c r="E14" i="1"/>
  <c r="M13" i="1"/>
  <c r="K13" i="1"/>
  <c r="J13" i="1"/>
  <c r="L13" i="1" s="1"/>
  <c r="N13" i="1" s="1"/>
  <c r="O13" i="1" s="1"/>
  <c r="P13" i="1" s="1"/>
  <c r="I13" i="1"/>
  <c r="E13" i="1"/>
  <c r="M12" i="1"/>
  <c r="O12" i="1" s="1"/>
  <c r="P12" i="1" s="1"/>
  <c r="K12" i="1"/>
  <c r="J12" i="1"/>
  <c r="I12" i="1"/>
  <c r="L12" i="1" s="1"/>
  <c r="N12" i="1" s="1"/>
  <c r="E12" i="1"/>
  <c r="M11" i="1"/>
  <c r="K11" i="1"/>
  <c r="J11" i="1"/>
  <c r="I11" i="1"/>
  <c r="L11" i="1" s="1"/>
  <c r="N11" i="1" s="1"/>
  <c r="E11" i="1"/>
  <c r="M10" i="1"/>
  <c r="K10" i="1"/>
  <c r="J10" i="1"/>
  <c r="I10" i="1"/>
  <c r="L10" i="1" s="1"/>
  <c r="N10" i="1" s="1"/>
  <c r="E10" i="1"/>
  <c r="M9" i="1"/>
  <c r="K9" i="1"/>
  <c r="J9" i="1"/>
  <c r="I9" i="1"/>
  <c r="L9" i="1" s="1"/>
  <c r="N9" i="1" s="1"/>
  <c r="O9" i="1" s="1"/>
  <c r="P9" i="1" s="1"/>
  <c r="E9" i="1"/>
  <c r="M8" i="1"/>
  <c r="K8" i="1"/>
  <c r="L8" i="1" s="1"/>
  <c r="N8" i="1" s="1"/>
  <c r="J8" i="1"/>
  <c r="I8" i="1"/>
  <c r="E8" i="1"/>
  <c r="M7" i="1"/>
  <c r="K7" i="1"/>
  <c r="J7" i="1"/>
  <c r="I7" i="1"/>
  <c r="L7" i="1" s="1"/>
  <c r="N7" i="1" s="1"/>
  <c r="E7" i="1"/>
  <c r="M6" i="1"/>
  <c r="O6" i="1" s="1"/>
  <c r="P6" i="1" s="1"/>
  <c r="K6" i="1"/>
  <c r="J6" i="1"/>
  <c r="I6" i="1"/>
  <c r="L6" i="1" s="1"/>
  <c r="N6" i="1" s="1"/>
  <c r="E6" i="1"/>
  <c r="O11" i="1" l="1"/>
  <c r="P11" i="1" s="1"/>
  <c r="O16" i="1"/>
  <c r="P16" i="1" s="1"/>
  <c r="O10" i="1"/>
  <c r="P10" i="1" s="1"/>
  <c r="O7" i="1"/>
  <c r="P7" i="1" s="1"/>
  <c r="O14" i="1"/>
  <c r="P14" i="1" s="1"/>
  <c r="O17" i="1"/>
  <c r="P17" i="1" s="1"/>
  <c r="O8" i="1"/>
  <c r="P8" i="1" s="1"/>
  <c r="O18" i="1"/>
  <c r="P18" i="1" s="1"/>
</calcChain>
</file>

<file path=xl/sharedStrings.xml><?xml version="1.0" encoding="utf-8"?>
<sst xmlns="http://schemas.openxmlformats.org/spreadsheetml/2006/main" count="69" uniqueCount="48">
  <si>
    <t>Supplementary Table S5. Phase 1 enhancer prioritization extension using p300, HAND2, and PITX1 occupancy datasets</t>
  </si>
  <si>
    <t>Gli3 locus enhancer set (n=13). Percentiles are within-factor across these 13 enhancers (mm9-quantified; mm10 coordinates shown).</t>
  </si>
  <si>
    <t>Datasets used (scoring) and embryonic stages: p300: E11.5 embryonic limb (GSE13845, GSM348066); PITX1: E11.5 embryonic hindlimb bud (GSE41591, GSM1019784 &amp; GSM1019786); HAND2: early embryonic limb bud (reported E10.5) (GSE55707, GSM1342122 WT &amp; GSM1342121 3xF). HAND2 GSM1447340 reprocessed track retained as descriptive-only.</t>
  </si>
  <si>
    <t>Enhancer ID</t>
  </si>
  <si>
    <t>chr (mm10)</t>
  </si>
  <si>
    <t>start (mm10)</t>
  </si>
  <si>
    <t>end (mm10)</t>
  </si>
  <si>
    <t>length (bp)</t>
  </si>
  <si>
    <t>p300 percentile</t>
  </si>
  <si>
    <t>PITX1 percentile</t>
  </si>
  <si>
    <t>HAND2 percentile</t>
  </si>
  <si>
    <t>p300 support (≥0.67)</t>
  </si>
  <si>
    <t>PITX1 support (≥0.67)</t>
  </si>
  <si>
    <t>HAND2 support (≥0.67)</t>
  </si>
  <si>
    <t># factors supported</t>
  </si>
  <si>
    <t>Mean factor percentile</t>
  </si>
  <si>
    <t>Support breadth</t>
  </si>
  <si>
    <t>Composite priority score</t>
  </si>
  <si>
    <t>Priority tier</t>
  </si>
  <si>
    <t>Interpretation note</t>
  </si>
  <si>
    <t>CNE14_hs1586_mm1977</t>
  </si>
  <si>
    <t>chr13</t>
  </si>
  <si>
    <t>Consistent multi-factor occupancy support across available bulk datasets; high prioritization support.</t>
  </si>
  <si>
    <t>CNE18</t>
  </si>
  <si>
    <t/>
  </si>
  <si>
    <t>mm2018</t>
  </si>
  <si>
    <t>CNE13</t>
  </si>
  <si>
    <t>mm2164</t>
  </si>
  <si>
    <t>mm2176</t>
  </si>
  <si>
    <t>mm1889</t>
  </si>
  <si>
    <t>CNE19</t>
  </si>
  <si>
    <t>PITX1-supported with limited p300/HAND2 bulk occupancy in available datasets; factor-specific support pattern.</t>
  </si>
  <si>
    <t>mm1859</t>
  </si>
  <si>
    <t>mm2080</t>
  </si>
  <si>
    <t>CNE21</t>
  </si>
  <si>
    <t>mm1887</t>
  </si>
  <si>
    <t>mm1179</t>
  </si>
  <si>
    <t>Low bulk occupancy across available datasets; modest signal does not exclude genetic relevance or context-specific activity.</t>
  </si>
  <si>
    <t>Footnotes</t>
  </si>
  <si>
    <t>1) Enhancer set: 13 Gli3 locus enhancers (same set as HOX13/GLI3 enhancer-wise quantification tables). Coordinates shown in mm10; quantification performed on mm9 processed tracks using mm10→mm9 liftOver of enhancer intervals.</t>
  </si>
  <si>
    <t>2) Embryonic stages and tissues: p300 (E11.5 embryonic limb); PITX1 (E11.5 embryonic hindlimb bud, two replicates); HAND2 (early embryonic limb bud, reported E10.5; WT and 3xF tracks used for scoring).</t>
  </si>
  <si>
    <t>3) Signal extraction: enhancer-wise signal computed as mean coverage across the full enhancer interval using UCSC bigWigAverageOverBed (mean0).</t>
  </si>
  <si>
    <t>4) Percentiles: within-factor percentiles across the 13 enhancers (1.0 = highest; 0.0 = lowest). PITX1 and HAND2 percentiles are factor-level aggregates (median across scoring datasets for that factor).</t>
  </si>
  <si>
    <t>5) Support flag: factor supports an enhancer when factor percentile ≥ 0.67 (top ~1/3 for that factor).</t>
  </si>
  <si>
    <t>6) Composite priority score: 0.75 × mean_factor_percentile + 0.25 × support_breadth_fraction, where support_breadth_fraction = (# factors supported)/3.</t>
  </si>
  <si>
    <t>7) Priority tiers: Tier A = composite ≥ 0.70 and ≥2 factors supported; Tier B = composite ≥ 0.45 OR ≥1 factor supported; Tier C otherwise. Tiers are for prioritization guidance, not functional calls.</t>
  </si>
  <si>
    <t>8) Dataset provenance: p300 GSM348066 (GSE13845); PITX1 GSM1019784 and GSM1019786 (GSE41591); HAND2 GSM1342122 (WT) and GSM1342121 (3xF) (GSE55707). HAND2 GSM1447340 reprocessed track retained as descriptive-only (excluded from scoring aggregation).</t>
  </si>
  <si>
    <t>9) Interpretation guardrail: occupancy support reflects sampled bulk ChIP-seq conditions and does not establish enhancer causality. Modest signal can reflect timing differences, tissue heterogeneity, or focal occupancy diluted across the enhancer interval.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</si>
</sst>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444444"/>
      <name val="Calibri"/>
    </font>
    <font>
      <sz val="10"/>
      <color rgb="FF333333"/>
      <name val="Calibri"/>
    </font>
    <font>
      <b/>
      <sz val="11"/>
      <color rgb="FFFFFFFF"/>
      <name val="Calibri"/>
    </font>
    <font>
      <b/>
      <sz val="12"/>
      <name val="Calibri"/>
    </font>
    <font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I1" workbookViewId="0">
      <selection activeCell="R18" sqref="R18"/>
    </sheetView>
  </sheetViews>
  <sheetFormatPr defaultRowHeight="14.4" x14ac:dyDescent="0.3"/>
  <cols>
    <col min="1" max="1" width="24" customWidth="1"/>
    <col min="2" max="2" width="10" customWidth="1"/>
    <col min="3" max="4" width="12" customWidth="1"/>
    <col min="5" max="5" width="11" customWidth="1"/>
    <col min="6" max="8" width="14" customWidth="1"/>
    <col min="9" max="9" width="16" customWidth="1"/>
    <col min="10" max="11" width="17" customWidth="1"/>
    <col min="12" max="12" width="15" customWidth="1"/>
    <col min="13" max="13" width="18" customWidth="1"/>
    <col min="14" max="14" width="14" customWidth="1"/>
    <col min="15" max="15" width="20" customWidth="1"/>
    <col min="16" max="16" width="12" customWidth="1"/>
    <col min="17" max="17" width="70" customWidth="1"/>
  </cols>
  <sheetData>
    <row r="1" spans="1:17" ht="22.35" customHeight="1" x14ac:dyDescent="0.3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7.55" customHeight="1" x14ac:dyDescent="0.3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30.45" customHeigh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5" spans="1:17" ht="28.8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6" spans="1:17" ht="30.45" customHeight="1" x14ac:dyDescent="0.3">
      <c r="A6" s="2" t="s">
        <v>20</v>
      </c>
      <c r="B6" s="3" t="s">
        <v>21</v>
      </c>
      <c r="C6" s="4">
        <v>15549343</v>
      </c>
      <c r="D6" s="4">
        <v>15550462</v>
      </c>
      <c r="E6" s="4">
        <f t="shared" ref="E6:E18" si="0">D6-C6</f>
        <v>1119</v>
      </c>
      <c r="F6" s="5">
        <v>0.83333299999999999</v>
      </c>
      <c r="G6" s="5">
        <v>1</v>
      </c>
      <c r="H6" s="5">
        <v>0.95833299999999999</v>
      </c>
      <c r="I6" s="6">
        <f t="shared" ref="I6:I18" si="1">IF(F6&gt;=0.67,1,0)</f>
        <v>1</v>
      </c>
      <c r="J6" s="6">
        <f t="shared" ref="J6:J18" si="2">IF(G6&gt;=0.67,1,0)</f>
        <v>1</v>
      </c>
      <c r="K6" s="6">
        <f t="shared" ref="K6:K18" si="3">IF(H6&gt;=0.67,1,0)</f>
        <v>1</v>
      </c>
      <c r="L6" s="6">
        <f t="shared" ref="L6:L18" si="4">SUM(I6:K6)</f>
        <v>3</v>
      </c>
      <c r="M6" s="5">
        <f t="shared" ref="M6:M18" si="5">AVERAGE(F6:H6)</f>
        <v>0.9305553333333334</v>
      </c>
      <c r="N6" s="5">
        <f t="shared" ref="N6:N18" si="6">L6/3</f>
        <v>1</v>
      </c>
      <c r="O6" s="7">
        <f t="shared" ref="O6:O18" si="7">0.75*M6+0.25*N6</f>
        <v>0.94791650000000005</v>
      </c>
      <c r="P6" s="6" t="str">
        <f t="shared" ref="P6:P18" si="8">IF(AND(O6&gt;=0.7,L6&gt;=2),"Tier A",IF(OR(O6&gt;=0.45,L6&gt;=1),"Tier B","Tier C"))</f>
        <v>Tier A</v>
      </c>
      <c r="Q6" s="2" t="s">
        <v>22</v>
      </c>
    </row>
    <row r="7" spans="1:17" ht="17.55" customHeight="1" x14ac:dyDescent="0.3">
      <c r="A7" s="2" t="s">
        <v>23</v>
      </c>
      <c r="B7" s="3" t="s">
        <v>21</v>
      </c>
      <c r="C7" s="4">
        <v>15610488</v>
      </c>
      <c r="D7" s="4">
        <v>15611188</v>
      </c>
      <c r="E7" s="4">
        <f t="shared" si="0"/>
        <v>700</v>
      </c>
      <c r="F7" s="5">
        <v>1</v>
      </c>
      <c r="G7" s="5">
        <v>0.91666700000000001</v>
      </c>
      <c r="H7" s="5">
        <v>0.79166700000000001</v>
      </c>
      <c r="I7" s="6">
        <f t="shared" si="1"/>
        <v>1</v>
      </c>
      <c r="J7" s="6">
        <f t="shared" si="2"/>
        <v>1</v>
      </c>
      <c r="K7" s="6">
        <f t="shared" si="3"/>
        <v>1</v>
      </c>
      <c r="L7" s="6">
        <f t="shared" si="4"/>
        <v>3</v>
      </c>
      <c r="M7" s="5">
        <f t="shared" si="5"/>
        <v>0.90277799999999997</v>
      </c>
      <c r="N7" s="5">
        <f t="shared" si="6"/>
        <v>1</v>
      </c>
      <c r="O7" s="7">
        <f t="shared" si="7"/>
        <v>0.92708349999999995</v>
      </c>
      <c r="P7" s="6" t="str">
        <f t="shared" si="8"/>
        <v>Tier A</v>
      </c>
      <c r="Q7" s="2" t="s">
        <v>24</v>
      </c>
    </row>
    <row r="8" spans="1:17" ht="17.55" customHeight="1" x14ac:dyDescent="0.3">
      <c r="A8" s="2" t="s">
        <v>25</v>
      </c>
      <c r="B8" s="3" t="s">
        <v>21</v>
      </c>
      <c r="C8" s="4">
        <v>15561789</v>
      </c>
      <c r="D8" s="4">
        <v>15567045</v>
      </c>
      <c r="E8" s="4">
        <f t="shared" si="0"/>
        <v>5256</v>
      </c>
      <c r="F8" s="5">
        <v>0.66666700000000001</v>
      </c>
      <c r="G8" s="5">
        <v>0.75</v>
      </c>
      <c r="H8" s="5">
        <v>0.75</v>
      </c>
      <c r="I8" s="6">
        <f t="shared" si="1"/>
        <v>0</v>
      </c>
      <c r="J8" s="6">
        <f t="shared" si="2"/>
        <v>1</v>
      </c>
      <c r="K8" s="6">
        <f t="shared" si="3"/>
        <v>1</v>
      </c>
      <c r="L8" s="6">
        <f t="shared" si="4"/>
        <v>2</v>
      </c>
      <c r="M8" s="5">
        <f t="shared" si="5"/>
        <v>0.7222223333333333</v>
      </c>
      <c r="N8" s="5">
        <f t="shared" si="6"/>
        <v>0.66666666666666663</v>
      </c>
      <c r="O8" s="7">
        <f t="shared" si="7"/>
        <v>0.7083334166666666</v>
      </c>
      <c r="P8" s="6" t="str">
        <f t="shared" si="8"/>
        <v>Tier A</v>
      </c>
      <c r="Q8" s="2" t="s">
        <v>24</v>
      </c>
    </row>
    <row r="9" spans="1:17" ht="17.55" customHeight="1" x14ac:dyDescent="0.3">
      <c r="A9" s="2" t="s">
        <v>26</v>
      </c>
      <c r="B9" s="3" t="s">
        <v>21</v>
      </c>
      <c r="C9" s="4">
        <v>15706515</v>
      </c>
      <c r="D9" s="4">
        <v>15706940</v>
      </c>
      <c r="E9" s="4">
        <f t="shared" si="0"/>
        <v>425</v>
      </c>
      <c r="F9" s="5">
        <v>0.91666700000000001</v>
      </c>
      <c r="G9" s="5">
        <v>0.625</v>
      </c>
      <c r="H9" s="5">
        <v>0.52083299999999999</v>
      </c>
      <c r="I9" s="6">
        <f t="shared" si="1"/>
        <v>1</v>
      </c>
      <c r="J9" s="6">
        <f t="shared" si="2"/>
        <v>0</v>
      </c>
      <c r="K9" s="6">
        <f t="shared" si="3"/>
        <v>0</v>
      </c>
      <c r="L9" s="6">
        <f t="shared" si="4"/>
        <v>1</v>
      </c>
      <c r="M9" s="5">
        <f t="shared" si="5"/>
        <v>0.6875</v>
      </c>
      <c r="N9" s="5">
        <f t="shared" si="6"/>
        <v>0.33333333333333331</v>
      </c>
      <c r="O9" s="7">
        <f t="shared" si="7"/>
        <v>0.59895833333333337</v>
      </c>
      <c r="P9" s="6" t="str">
        <f t="shared" si="8"/>
        <v>Tier B</v>
      </c>
      <c r="Q9" s="2" t="s">
        <v>24</v>
      </c>
    </row>
    <row r="10" spans="1:17" ht="17.55" customHeight="1" x14ac:dyDescent="0.3">
      <c r="A10" s="2" t="s">
        <v>27</v>
      </c>
      <c r="B10" s="3" t="s">
        <v>21</v>
      </c>
      <c r="C10" s="4">
        <v>15221300</v>
      </c>
      <c r="D10" s="4">
        <v>15226920</v>
      </c>
      <c r="E10" s="4">
        <f t="shared" si="0"/>
        <v>5620</v>
      </c>
      <c r="F10" s="5">
        <v>0.75</v>
      </c>
      <c r="G10" s="5">
        <v>0.375</v>
      </c>
      <c r="H10" s="5">
        <v>0.58333299999999999</v>
      </c>
      <c r="I10" s="6">
        <f t="shared" si="1"/>
        <v>1</v>
      </c>
      <c r="J10" s="6">
        <f t="shared" si="2"/>
        <v>0</v>
      </c>
      <c r="K10" s="6">
        <f t="shared" si="3"/>
        <v>0</v>
      </c>
      <c r="L10" s="6">
        <f t="shared" si="4"/>
        <v>1</v>
      </c>
      <c r="M10" s="5">
        <f t="shared" si="5"/>
        <v>0.56944433333333333</v>
      </c>
      <c r="N10" s="5">
        <f t="shared" si="6"/>
        <v>0.33333333333333331</v>
      </c>
      <c r="O10" s="7">
        <f t="shared" si="7"/>
        <v>0.5104165833333334</v>
      </c>
      <c r="P10" s="6" t="str">
        <f t="shared" si="8"/>
        <v>Tier B</v>
      </c>
      <c r="Q10" s="2" t="s">
        <v>24</v>
      </c>
    </row>
    <row r="11" spans="1:17" ht="17.55" customHeight="1" x14ac:dyDescent="0.3">
      <c r="A11" s="2" t="s">
        <v>28</v>
      </c>
      <c r="B11" s="3" t="s">
        <v>21</v>
      </c>
      <c r="C11" s="4">
        <v>14840677</v>
      </c>
      <c r="D11" s="4">
        <v>14846134</v>
      </c>
      <c r="E11" s="4">
        <f t="shared" si="0"/>
        <v>5457</v>
      </c>
      <c r="F11" s="5">
        <v>0.33333299999999999</v>
      </c>
      <c r="G11" s="5">
        <v>0.16666700000000001</v>
      </c>
      <c r="H11" s="5">
        <v>0.83333299999999999</v>
      </c>
      <c r="I11" s="6">
        <f t="shared" si="1"/>
        <v>0</v>
      </c>
      <c r="J11" s="6">
        <f t="shared" si="2"/>
        <v>0</v>
      </c>
      <c r="K11" s="6">
        <f t="shared" si="3"/>
        <v>1</v>
      </c>
      <c r="L11" s="6">
        <f t="shared" si="4"/>
        <v>1</v>
      </c>
      <c r="M11" s="5">
        <f t="shared" si="5"/>
        <v>0.44444433333333339</v>
      </c>
      <c r="N11" s="5">
        <f t="shared" si="6"/>
        <v>0.33333333333333331</v>
      </c>
      <c r="O11" s="7">
        <f t="shared" si="7"/>
        <v>0.41666658333333334</v>
      </c>
      <c r="P11" s="6" t="str">
        <f t="shared" si="8"/>
        <v>Tier B</v>
      </c>
      <c r="Q11" s="2" t="s">
        <v>24</v>
      </c>
    </row>
    <row r="12" spans="1:17" ht="17.55" customHeight="1" x14ac:dyDescent="0.3">
      <c r="A12" s="2" t="s">
        <v>29</v>
      </c>
      <c r="B12" s="3" t="s">
        <v>21</v>
      </c>
      <c r="C12" s="4">
        <v>15446547</v>
      </c>
      <c r="D12" s="4">
        <v>15451946</v>
      </c>
      <c r="E12" s="4">
        <f t="shared" si="0"/>
        <v>5399</v>
      </c>
      <c r="F12" s="5">
        <v>0.58333299999999999</v>
      </c>
      <c r="G12" s="5">
        <v>0.5</v>
      </c>
      <c r="H12" s="5">
        <v>0.41666700000000001</v>
      </c>
      <c r="I12" s="6">
        <f t="shared" si="1"/>
        <v>0</v>
      </c>
      <c r="J12" s="6">
        <f t="shared" si="2"/>
        <v>0</v>
      </c>
      <c r="K12" s="6">
        <f t="shared" si="3"/>
        <v>0</v>
      </c>
      <c r="L12" s="6">
        <f t="shared" si="4"/>
        <v>0</v>
      </c>
      <c r="M12" s="5">
        <f t="shared" si="5"/>
        <v>0.5</v>
      </c>
      <c r="N12" s="5">
        <f t="shared" si="6"/>
        <v>0</v>
      </c>
      <c r="O12" s="7">
        <f t="shared" si="7"/>
        <v>0.375</v>
      </c>
      <c r="P12" s="6" t="str">
        <f t="shared" si="8"/>
        <v>Tier C</v>
      </c>
      <c r="Q12" s="2" t="s">
        <v>24</v>
      </c>
    </row>
    <row r="13" spans="1:17" ht="30.45" customHeight="1" x14ac:dyDescent="0.3">
      <c r="A13" s="2" t="s">
        <v>30</v>
      </c>
      <c r="B13" s="3" t="s">
        <v>21</v>
      </c>
      <c r="C13" s="4">
        <v>15620962</v>
      </c>
      <c r="D13" s="4">
        <v>15621575</v>
      </c>
      <c r="E13" s="4">
        <f t="shared" si="0"/>
        <v>613</v>
      </c>
      <c r="F13" s="5">
        <v>0.25</v>
      </c>
      <c r="G13" s="5">
        <v>0.83333299999999999</v>
      </c>
      <c r="H13" s="5">
        <v>2.0833000000000001E-2</v>
      </c>
      <c r="I13" s="6">
        <f t="shared" si="1"/>
        <v>0</v>
      </c>
      <c r="J13" s="6">
        <f t="shared" si="2"/>
        <v>1</v>
      </c>
      <c r="K13" s="6">
        <f t="shared" si="3"/>
        <v>0</v>
      </c>
      <c r="L13" s="6">
        <f t="shared" si="4"/>
        <v>1</v>
      </c>
      <c r="M13" s="5">
        <f t="shared" si="5"/>
        <v>0.3680553333333334</v>
      </c>
      <c r="N13" s="5">
        <f t="shared" si="6"/>
        <v>0.33333333333333331</v>
      </c>
      <c r="O13" s="7">
        <f t="shared" si="7"/>
        <v>0.35937483333333337</v>
      </c>
      <c r="P13" s="6" t="str">
        <f t="shared" si="8"/>
        <v>Tier B</v>
      </c>
      <c r="Q13" s="2" t="s">
        <v>31</v>
      </c>
    </row>
    <row r="14" spans="1:17" ht="17.55" customHeight="1" x14ac:dyDescent="0.3">
      <c r="A14" s="2" t="s">
        <v>32</v>
      </c>
      <c r="B14" s="3" t="s">
        <v>21</v>
      </c>
      <c r="C14" s="4">
        <v>15171260</v>
      </c>
      <c r="D14" s="4">
        <v>15176448</v>
      </c>
      <c r="E14" s="4">
        <f t="shared" si="0"/>
        <v>5188</v>
      </c>
      <c r="F14" s="5">
        <v>0.5</v>
      </c>
      <c r="G14" s="5">
        <v>0.375</v>
      </c>
      <c r="H14" s="5">
        <v>0.41666700000000001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5">
        <f t="shared" si="5"/>
        <v>0.43055566666666661</v>
      </c>
      <c r="N14" s="5">
        <f t="shared" si="6"/>
        <v>0</v>
      </c>
      <c r="O14" s="7">
        <f t="shared" si="7"/>
        <v>0.32291674999999997</v>
      </c>
      <c r="P14" s="6" t="str">
        <f t="shared" si="8"/>
        <v>Tier C</v>
      </c>
      <c r="Q14" s="2" t="s">
        <v>24</v>
      </c>
    </row>
    <row r="15" spans="1:17" ht="17.55" customHeight="1" x14ac:dyDescent="0.3">
      <c r="A15" s="2" t="s">
        <v>33</v>
      </c>
      <c r="B15" s="3" t="s">
        <v>21</v>
      </c>
      <c r="C15" s="4">
        <v>14718760</v>
      </c>
      <c r="D15" s="4">
        <v>14724010</v>
      </c>
      <c r="E15" s="4">
        <f t="shared" si="0"/>
        <v>5250</v>
      </c>
      <c r="F15" s="5">
        <v>0.41666700000000001</v>
      </c>
      <c r="G15" s="5">
        <v>0.25</v>
      </c>
      <c r="H15" s="5">
        <v>0.58333299999999999</v>
      </c>
      <c r="I15" s="6">
        <f t="shared" si="1"/>
        <v>0</v>
      </c>
      <c r="J15" s="6">
        <f t="shared" si="2"/>
        <v>0</v>
      </c>
      <c r="K15" s="6">
        <f t="shared" si="3"/>
        <v>0</v>
      </c>
      <c r="L15" s="6">
        <f t="shared" si="4"/>
        <v>0</v>
      </c>
      <c r="M15" s="5">
        <f t="shared" si="5"/>
        <v>0.41666666666666669</v>
      </c>
      <c r="N15" s="5">
        <f t="shared" si="6"/>
        <v>0</v>
      </c>
      <c r="O15" s="7">
        <f t="shared" si="7"/>
        <v>0.3125</v>
      </c>
      <c r="P15" s="6" t="str">
        <f t="shared" si="8"/>
        <v>Tier C</v>
      </c>
      <c r="Q15" s="2" t="s">
        <v>24</v>
      </c>
    </row>
    <row r="16" spans="1:17" ht="17.55" customHeight="1" x14ac:dyDescent="0.3">
      <c r="A16" s="2" t="s">
        <v>34</v>
      </c>
      <c r="B16" s="3" t="s">
        <v>21</v>
      </c>
      <c r="C16" s="4">
        <v>15658220</v>
      </c>
      <c r="D16" s="4">
        <v>15658910</v>
      </c>
      <c r="E16" s="4">
        <f t="shared" si="0"/>
        <v>690</v>
      </c>
      <c r="F16" s="5">
        <v>8.3333000000000004E-2</v>
      </c>
      <c r="G16" s="5">
        <v>0.625</v>
      </c>
      <c r="H16" s="5">
        <v>0.25</v>
      </c>
      <c r="I16" s="6">
        <f t="shared" si="1"/>
        <v>0</v>
      </c>
      <c r="J16" s="6">
        <f t="shared" si="2"/>
        <v>0</v>
      </c>
      <c r="K16" s="6">
        <f t="shared" si="3"/>
        <v>0</v>
      </c>
      <c r="L16" s="6">
        <f t="shared" si="4"/>
        <v>0</v>
      </c>
      <c r="M16" s="5">
        <f t="shared" si="5"/>
        <v>0.31944433333333333</v>
      </c>
      <c r="N16" s="5">
        <f t="shared" si="6"/>
        <v>0</v>
      </c>
      <c r="O16" s="7">
        <f t="shared" si="7"/>
        <v>0.23958325</v>
      </c>
      <c r="P16" s="6" t="str">
        <f t="shared" si="8"/>
        <v>Tier C</v>
      </c>
      <c r="Q16" s="2" t="s">
        <v>24</v>
      </c>
    </row>
    <row r="17" spans="1:17" ht="17.55" customHeight="1" x14ac:dyDescent="0.3">
      <c r="A17" s="2" t="s">
        <v>35</v>
      </c>
      <c r="B17" s="3" t="s">
        <v>21</v>
      </c>
      <c r="C17" s="4">
        <v>15433884</v>
      </c>
      <c r="D17" s="4">
        <v>15439151</v>
      </c>
      <c r="E17" s="4">
        <f t="shared" si="0"/>
        <v>5267</v>
      </c>
      <c r="F17" s="5">
        <v>8.3333000000000004E-2</v>
      </c>
      <c r="G17" s="5">
        <v>8.3333000000000004E-2</v>
      </c>
      <c r="H17" s="5">
        <v>0.25</v>
      </c>
      <c r="I17" s="6">
        <f t="shared" si="1"/>
        <v>0</v>
      </c>
      <c r="J17" s="6">
        <f t="shared" si="2"/>
        <v>0</v>
      </c>
      <c r="K17" s="6">
        <f t="shared" si="3"/>
        <v>0</v>
      </c>
      <c r="L17" s="6">
        <f t="shared" si="4"/>
        <v>0</v>
      </c>
      <c r="M17" s="5">
        <f t="shared" si="5"/>
        <v>0.13888866666666666</v>
      </c>
      <c r="N17" s="5">
        <f t="shared" si="6"/>
        <v>0</v>
      </c>
      <c r="O17" s="7">
        <f t="shared" si="7"/>
        <v>0.1041665</v>
      </c>
      <c r="P17" s="6" t="str">
        <f t="shared" si="8"/>
        <v>Tier C</v>
      </c>
      <c r="Q17" s="2" t="s">
        <v>24</v>
      </c>
    </row>
    <row r="18" spans="1:17" ht="30.45" customHeight="1" x14ac:dyDescent="0.3">
      <c r="A18" s="2" t="s">
        <v>36</v>
      </c>
      <c r="B18" s="3" t="s">
        <v>21</v>
      </c>
      <c r="C18" s="4">
        <v>15434539</v>
      </c>
      <c r="D18" s="4">
        <v>15436055</v>
      </c>
      <c r="E18" s="4">
        <f t="shared" si="0"/>
        <v>1516</v>
      </c>
      <c r="F18" s="5">
        <v>8.3333000000000004E-2</v>
      </c>
      <c r="G18" s="5">
        <v>0</v>
      </c>
      <c r="H18" s="5">
        <v>0.125</v>
      </c>
      <c r="I18" s="6">
        <f t="shared" si="1"/>
        <v>0</v>
      </c>
      <c r="J18" s="6">
        <f t="shared" si="2"/>
        <v>0</v>
      </c>
      <c r="K18" s="6">
        <f t="shared" si="3"/>
        <v>0</v>
      </c>
      <c r="L18" s="6">
        <f t="shared" si="4"/>
        <v>0</v>
      </c>
      <c r="M18" s="5">
        <f t="shared" si="5"/>
        <v>6.944433333333333E-2</v>
      </c>
      <c r="N18" s="5">
        <f t="shared" si="6"/>
        <v>0</v>
      </c>
      <c r="O18" s="7">
        <f t="shared" si="7"/>
        <v>5.2083249999999998E-2</v>
      </c>
      <c r="P18" s="6" t="str">
        <f t="shared" si="8"/>
        <v>Tier C</v>
      </c>
      <c r="Q18" s="2" t="s">
        <v>37</v>
      </c>
    </row>
    <row r="21" spans="1:17" ht="15.6" x14ac:dyDescent="0.3">
      <c r="A21" s="10" t="s">
        <v>38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31.95" customHeight="1" x14ac:dyDescent="0.3">
      <c r="A22" s="8" t="s">
        <v>39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24" customHeight="1" x14ac:dyDescent="0.3">
      <c r="A23" s="8" t="s">
        <v>40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24" customHeight="1" x14ac:dyDescent="0.3">
      <c r="A24" s="8" t="s">
        <v>41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24" customHeight="1" x14ac:dyDescent="0.3">
      <c r="A25" s="8" t="s">
        <v>42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24" customHeight="1" x14ac:dyDescent="0.3">
      <c r="A26" s="8" t="s">
        <v>43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24" customHeight="1" x14ac:dyDescent="0.3">
      <c r="A27" s="8" t="s">
        <v>44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24" customHeight="1" x14ac:dyDescent="0.3">
      <c r="A28" s="8" t="s">
        <v>45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24" customHeight="1" x14ac:dyDescent="0.3">
      <c r="A29" s="8" t="s">
        <v>46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31.95" customHeight="1" x14ac:dyDescent="0.3">
      <c r="A30" s="8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2" spans="1:17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</sheetData>
  <mergeCells count="14">
    <mergeCell ref="A32:Q32"/>
    <mergeCell ref="A2:Q2"/>
    <mergeCell ref="A25:Q25"/>
    <mergeCell ref="A28:Q28"/>
    <mergeCell ref="A1:Q1"/>
    <mergeCell ref="A23:Q23"/>
    <mergeCell ref="A22:Q22"/>
    <mergeCell ref="A27:Q27"/>
    <mergeCell ref="A3:Q3"/>
    <mergeCell ref="A21:Q21"/>
    <mergeCell ref="A30:Q30"/>
    <mergeCell ref="A29:Q29"/>
    <mergeCell ref="A26:Q26"/>
    <mergeCell ref="A24:Q24"/>
  </mergeCells>
  <conditionalFormatting sqref="P6:P18">
    <cfRule type="expression" dxfId="2" priority="1">
      <formula>$P6="Tier A"</formula>
    </cfRule>
    <cfRule type="expression" dxfId="1" priority="2">
      <formula>$P6="Tier B"</formula>
    </cfRule>
    <cfRule type="expression" dxfId="0" priority="3">
      <formula>$P6="Tier 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IRIS</dc:creator>
  <cp:lastModifiedBy>Amir Ali Abbasi</cp:lastModifiedBy>
  <dcterms:created xsi:type="dcterms:W3CDTF">2026-02-26T03:33:08Z</dcterms:created>
  <dcterms:modified xsi:type="dcterms:W3CDTF">2026-02-26T03:33:29Z</dcterms:modified>
</cp:coreProperties>
</file>