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ell IRIS\Downloads\"/>
    </mc:Choice>
  </mc:AlternateContent>
  <xr:revisionPtr revIDLastSave="0" documentId="13_ncr:1_{4C9F46EB-E153-425B-8643-787123060ACD}" xr6:coauthVersionLast="47" xr6:coauthVersionMax="47" xr10:uidLastSave="{00000000-0000-0000-0000-000000000000}"/>
  <bookViews>
    <workbookView xWindow="-108" yWindow="-108" windowWidth="23256" windowHeight="13896" activeTab="10" xr2:uid="{00000000-000D-0000-FFFF-FFFF00000000}"/>
  </bookViews>
  <sheets>
    <sheet name="S1" sheetId="1" r:id="rId1"/>
    <sheet name="S2" sheetId="2" r:id="rId2"/>
    <sheet name="S3" sheetId="3" r:id="rId3"/>
    <sheet name="S4a" sheetId="4" r:id="rId4"/>
    <sheet name="S4b" sheetId="5" r:id="rId5"/>
    <sheet name="S5" sheetId="6" r:id="rId6"/>
    <sheet name="S6a" sheetId="7" r:id="rId7"/>
    <sheet name="S6b" sheetId="8" r:id="rId8"/>
    <sheet name="S7" sheetId="9" r:id="rId9"/>
    <sheet name="S8" sheetId="10" r:id="rId10"/>
    <sheet name="README"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6" l="1"/>
  <c r="E16" i="6"/>
  <c r="E15" i="6"/>
  <c r="E14" i="6"/>
  <c r="E13" i="6"/>
  <c r="E12" i="6"/>
  <c r="E11" i="6"/>
  <c r="E10" i="6"/>
  <c r="E9" i="6"/>
  <c r="E8" i="6"/>
  <c r="E7" i="6"/>
  <c r="E6" i="6"/>
  <c r="E5" i="6"/>
</calcChain>
</file>

<file path=xl/sharedStrings.xml><?xml version="1.0" encoding="utf-8"?>
<sst xmlns="http://schemas.openxmlformats.org/spreadsheetml/2006/main" count="1056" uniqueCount="307">
  <si>
    <t>Enhancer_short</t>
  </si>
  <si>
    <t>Enhancer_ID_full</t>
  </si>
  <si>
    <t>Location</t>
  </si>
  <si>
    <t>H3K4me1_mean</t>
  </si>
  <si>
    <t>H3K27ac_mean</t>
  </si>
  <si>
    <t>H3K4me3_mean</t>
  </si>
  <si>
    <t>CNE14</t>
  </si>
  <si>
    <t>CNE14/hs1586 (mouse ortholog: mm1977)</t>
  </si>
  <si>
    <t>intronic</t>
  </si>
  <si>
    <t>CNE19</t>
  </si>
  <si>
    <t>CNE18</t>
  </si>
  <si>
    <t>mm2018</t>
  </si>
  <si>
    <t>CNE21</t>
  </si>
  <si>
    <t>CNE13</t>
  </si>
  <si>
    <t>mm1889</t>
  </si>
  <si>
    <t>upstream</t>
  </si>
  <si>
    <t>mm2164</t>
  </si>
  <si>
    <t>mm2080</t>
  </si>
  <si>
    <t>mm2176</t>
  </si>
  <si>
    <t>mm1859</t>
  </si>
  <si>
    <t>mm1887</t>
  </si>
  <si>
    <t>mm1179</t>
  </si>
  <si>
    <t>Table footnotes</t>
  </si>
  <si>
    <t>1) Genome build: mm9. Enhancer intervals and signal summaries are in mm9 coordinates.</t>
  </si>
  <si>
    <t>2) Values reproduce the figure-specific WT E11.5 hindlimb histone-mark tracks used for Fig. 2C (GEO GSE84793: H3K4me1, GSM2251454/GSM2251455; H3K27ac, GSM2251482/GSM2251483; H3K4me3, GSM2251468/GSM2251469).</t>
  </si>
  <si>
    <t>3) H3K4me1 and H3K27ac are enhancer-associated marks; H3K4me3 is a promoter-associated mark included as a control for promoter proximity/overlap.</t>
  </si>
  <si>
    <t>4) Location annotation indicates whether the enhancer lies within the Gli3 intronic region (intronic) or 5′ of the gene body (upstream), as defined in the Fig2 coordinate track set.</t>
  </si>
  <si>
    <t>5) Sorting: enhancers are grouped by Location (intronic first, then upstream), and within each group sorted by H3K4me1_mean (descending).</t>
  </si>
  <si>
    <t>6) This table supports Fig. 2C, which displays the same mean signals on a shared axis to enable direct mark-by-mark comparison per enhancer.</t>
  </si>
  <si>
    <t>7) If a value is 0.000, it indicates either negligible signal across the interval or absence of signal in the provided bigWig track at that region (not a missing-data code).</t>
  </si>
  <si>
    <t>8) This sheet reproduces the figure-specific values underlying Fig. 2C. Tables S6-S8 use the standardized 54-enhancer comparative workflow and should not be treated as numerically interchangeable with this figure-specific table where processing or interval-summary conventions differ. Identifier note: CNE14 corresponds to hs1586; mm1977 denotes its mouse orthologous element.</t>
  </si>
  <si>
    <t>Supplementary Table S2. Enhancer-wise HOXA13 and HOXD13 signal underlying Fig. 3C (mm10)</t>
  </si>
  <si>
    <t>Figure-specific HOXA13 and HOXD13 ChIP-seq signal across the 13 curated Gli3 limb enhancer intervals.</t>
  </si>
  <si>
    <t>chrom</t>
  </si>
  <si>
    <t>start</t>
  </si>
  <si>
    <t>end</t>
  </si>
  <si>
    <t>enhancer</t>
  </si>
  <si>
    <t>group</t>
  </si>
  <si>
    <t>len_bp</t>
  </si>
  <si>
    <t>mean_HOXA13</t>
  </si>
  <si>
    <t>mean_HOXD13</t>
  </si>
  <si>
    <t>max_HOXA13</t>
  </si>
  <si>
    <t>max_HOXD13</t>
  </si>
  <si>
    <t>sum_mean</t>
  </si>
  <si>
    <t>chr13</t>
  </si>
  <si>
    <t>Table footnotes:
1) Coordinates are GRCm38/mm10 and correspond to the curated 13-enhancer interval set used for Fig. 3C. Identifier note: CNE14 corresponds to hs1586; mm1977 denotes its mouse orthologous element.
2) Values reproduce the figure-specific processed tracks used for Fig. 3C, derived from WT E12.5 distal-forelimb HOXA13 (GSM5828329/GSM5828330/GSM5828331) and HOXD13 (GSM5828332/GSM5828333/GSM5828334) ChIP-seq datasets. mean_* is the interval-average signal and max_* is the maximum signal. The standardized 54-enhancer comparison in Tables S6-S8 used a separately audited matched processed-track pair; therefore the two representations are not expected to be numerically identical.
3) group indicates whether the enhancer lies upstream of Gli3 (upstream) or within the Gli3 intronic region (intronic), consistent with the interval classes displayed in Fig. 3A.
4) sum_mean = mean_HOXA13 + mean_HOXD13. In the scatter plot, x = log10(1 + mean_HOXA13) and y = log10(1 + mean_HOXD13).</t>
  </si>
  <si>
    <t>Supplementary Table S3. Enhancer-wise GLI3 occupancy underlying Supplementary Fig. S1C (mm10; WT E11.5 limb)</t>
  </si>
  <si>
    <t>Enhancer_ID</t>
  </si>
  <si>
    <t>Class</t>
  </si>
  <si>
    <t>Chromosome</t>
  </si>
  <si>
    <t>Start_mm10</t>
  </si>
  <si>
    <t>End_mm10</t>
  </si>
  <si>
    <t>Length_bp</t>
  </si>
  <si>
    <t>Midpoint_Mb</t>
  </si>
  <si>
    <t>Mean_log2_ChIP_over_Input</t>
  </si>
  <si>
    <t>Table footnotes:</t>
  </si>
  <si>
    <t>1) Coordinates are mm10 (Chromosome, Start_mm10, End_mm10). Length_bp = End_mm10 − Start_mm10; Midpoint_Mb = (Start_mm10 + End_mm10)/2 in megabases. Identifier note: CNE14 corresponds to hs1586; mm1977 denotes its mouse orthologous element.</t>
  </si>
  <si>
    <t>2) Enhancer classes (upstream and intronic) correspond to the curated Gli3 limb enhancer interval sets displayed in Supplementary Fig. S1C.</t>
  </si>
  <si>
    <t>3) Mean_log2_ChIP_over_Input is the figure-specific mean log2(ChIP/Input) signal averaged across the full enhancer interval for Supplementary Fig. S1C. Tables S6-S8 use the separately standardized 54-enhancer comparative quantification and may therefore differ slightly for individual intervals.</t>
  </si>
  <si>
    <t>4) GLI3 ChIP-seq runs used: SRR11907926, SRR11907927, SRR11907928. Alignments: Bowtie2; processing: samtools sort/index/merge; CPM normalization and log2 track derived from ChIP/Input bigWigs.</t>
  </si>
  <si>
    <t>5) Narrow peak-like binding within larger enhancer intervals can yield near-zero mean values when averaged across the full interval; Supplementary Fig. S1A-B provides the corresponding locus-level and zoomed track context.</t>
  </si>
  <si>
    <t>Supplementary Table S4a. Promoter-centered Virtual 4C signal vector underlying Supplementary Fig. S2 (E11.5 hindlimb Hi-C; mm9)</t>
  </si>
  <si>
    <t>Overview</t>
  </si>
  <si>
    <t>Dataset (GEO)</t>
  </si>
  <si>
    <t>GSE116791 (mouse E11.5 hindlimb bud Hi-C)</t>
  </si>
  <si>
    <t>Genome build</t>
  </si>
  <si>
    <t>NCBI37 / mm9</t>
  </si>
  <si>
    <t>Matrix normalization / signal</t>
  </si>
  <si>
    <t>KR-balanced; Observed/Expected (O/E) at 10 kb</t>
  </si>
  <si>
    <t>Viewpoint (Gli3 promoter/TSS bin)</t>
  </si>
  <si>
    <t>chr13:15,550,000-15,560,000 (10 kb bin; center=15,555,000)</t>
  </si>
  <si>
    <t>Plotted window</t>
  </si>
  <si>
    <t>chr13:14,732,034–16,103,316 (mm9); vector aligned to 10 kb bins (14,730,000–16,100,000)</t>
  </si>
  <si>
    <t>Enhancer annotations</t>
  </si>
  <si>
    <t>Thirteen curated Gli3 limb enhancers in mm9; elements are categorized as intronic or upstream relative to the Gli3 locus.</t>
  </si>
  <si>
    <t>Chromosome (mm9)</t>
  </si>
  <si>
    <t>Bin start (bp)</t>
  </si>
  <si>
    <t>Bin end (bp)</t>
  </si>
  <si>
    <t>Bin center (bp)</t>
  </si>
  <si>
    <t>Position (Mb, center)</t>
  </si>
  <si>
    <t>Virtual 4C signal (O/E, KR)</t>
  </si>
  <si>
    <t>Distance from promoter bin (kb)</t>
  </si>
  <si>
    <t>Enhancer overlap (mm9)</t>
  </si>
  <si>
    <t>mm1179;mm1887</t>
  </si>
  <si>
    <t>mm1887;mm1889</t>
  </si>
  <si>
    <t>Table Footnotes</t>
  </si>
  <si>
    <t>1) Signal values are KR-balanced observed/expected (O/E) contacts extracted from the .hic file at 10 kb resolution using Juicer Tools.</t>
  </si>
  <si>
    <t>2) The promoter viewpoint corresponds to the 10 kb bin containing the Gli3 promoter/TSS (chr13:15,550,000–15,560,000; mm9).</t>
  </si>
  <si>
    <t>3) Bins are reported as start/end/center coordinates (mm9). Distance is computed from the viewpoint bin center (positive = downstream, negative = upstream).</t>
  </si>
  <si>
    <t>4) Enhancer overlap identifies any of the 13 curated Gli3 limb enhancer intervals intersecting a given 10 kb bin (mm9 coordinates); exact enhancer intervals and intronic/upstream annotations are provided in Supplementary Table S4b.</t>
  </si>
  <si>
    <t>5) Hi-C is population-averaged; Virtual 4C profiles summarize relative contact enrichment and do not alone establish specific enhancer–promoter looping.</t>
  </si>
  <si>
    <t>Supplementary Table S4b. mm9 enhancer coordinates used for the Virtual 4C overlay in Supplementary Fig. S2</t>
  </si>
  <si>
    <t>chr</t>
  </si>
  <si>
    <t>start_mm9</t>
  </si>
  <si>
    <t>end_mm9</t>
  </si>
  <si>
    <t>mid_mm9</t>
  </si>
  <si>
    <t>enhancer_id</t>
  </si>
  <si>
    <t>Supplementary Table S5. Relative p300, PITX1 and HAND2 occupancy percentiles across curated Gli3 limb enhancers</t>
  </si>
  <si>
    <t>Thirteen curated Gli3 limb enhancers; coordinates shown in mm10. Rows are ordered by genomic position, not by occupancy signal.</t>
  </si>
  <si>
    <t>Percentiles summarize relative enhancer-wise occupancy within each factor and are descriptive only; they are not enhancer-priority scores or functional classifiers.</t>
  </si>
  <si>
    <t>Enhancer ID</t>
  </si>
  <si>
    <t>chr (mm10)</t>
  </si>
  <si>
    <t>start (mm10)</t>
  </si>
  <si>
    <t>end (mm10)</t>
  </si>
  <si>
    <t>length (bp)</t>
  </si>
  <si>
    <t>p300 percentile</t>
  </si>
  <si>
    <t>PITX1 percentile</t>
  </si>
  <si>
    <t>HAND2 percentile</t>
  </si>
  <si>
    <t>1) Enhancer set: the 13 curated functionally supported Gli3 limb enhancers analyzed in this study. Coordinates are reported in GRCm38/mm10; signal quantification used the corresponding mm9 intervals after mm10-to-mm9 liftOver where required. Identifier note: CNE14 corresponds to hs1586; mm1977 denotes its mouse orthologous element.</t>
  </si>
  <si>
    <t>2) Percentiles are calculated within factor across these 13 enhancers (higher percentile = relatively higher signal for that factor within this enhancer set). Percentiles should not be used to compare absolute occupancy magnitude between different factors.</t>
  </si>
  <si>
    <t>3) p300: E11.5 embryonic limb, GSE13845/GSM348066. PITX1: E11.5 embryonic hindlimb, GSE41591/GSM1019784 and GSM1019786; the displayed PITX1 percentile is the factor-level aggregate across the two scoring datasets.</t>
  </si>
  <si>
    <t>4) HAND2: GSE55707/GSM1342122 (WT) and GSM1342121 (3xF) scoring tracks derive from pooled E10.5 Hand2-expressing embryonic tissues including limb buds, heart and branchial arches. The displayed HAND2 percentile is the factor-level aggregate across these scoring tracks. Limb-specific GSM1447340 was retained as descriptive-only and was not included in this percentile aggregation.</t>
  </si>
  <si>
    <t>5) Enhancer-wise signal was summarized across the full interval using UCSC bigWigAverageOverBed (mean0). PITX1 and HAND2 factor-level percentiles reflect the aggregation procedure used in the original enhancer-wise analysis.</t>
  </si>
  <si>
    <t>6) These percentiles provide a descriptive view of heterogeneous bulk occupancy across validated Gli3 limb enhancers. Differences in developmental stage, tissue composition and dataset provenance mean that the three factors are interpreted as complementary context rather than synchronized measurements, predictors or functional calls.</t>
  </si>
  <si>
    <t>Supplementary Table S6a. Standardized multi-layer signal matrix across curated Gli3 limb enhancers and Gli3-region VISTA comparison enhancers</t>
  </si>
  <si>
    <t>class</t>
  </si>
  <si>
    <t>activity_note</t>
  </si>
  <si>
    <t>start_mm10</t>
  </si>
  <si>
    <t>end_mm10</t>
  </si>
  <si>
    <t>chrom_mm9</t>
  </si>
  <si>
    <t>HOXA13_mean0</t>
  </si>
  <si>
    <t>HOXD13_mean0</t>
  </si>
  <si>
    <t>HOX13_sum_mean0</t>
  </si>
  <si>
    <t>GLI3_mean0</t>
  </si>
  <si>
    <t>H3K4me1_mean0</t>
  </si>
  <si>
    <t>H3K27ac_mean0</t>
  </si>
  <si>
    <t>H3K4me3_mean0</t>
  </si>
  <si>
    <t>HAND2_WT_mean0</t>
  </si>
  <si>
    <t>p300_mean0</t>
  </si>
  <si>
    <t>PITX1_HL1_mean0</t>
  </si>
  <si>
    <t>PITX1_HL2_mean0</t>
  </si>
  <si>
    <t>PITX1_mean0_average_HL1_HL2</t>
  </si>
  <si>
    <t>mm2074</t>
  </si>
  <si>
    <t>non_limb</t>
  </si>
  <si>
    <t>Facial mesenchyme</t>
  </si>
  <si>
    <t>limb</t>
  </si>
  <si>
    <t>Curated functionally supported limb enhancer</t>
  </si>
  <si>
    <t>mm2175</t>
  </si>
  <si>
    <t>Tail</t>
  </si>
  <si>
    <t>mm2059</t>
  </si>
  <si>
    <t>Midbrain, Neural tube</t>
  </si>
  <si>
    <t>mm2308</t>
  </si>
  <si>
    <t>mm2309</t>
  </si>
  <si>
    <t>Forebrain, Midbrain, Hindbrain</t>
  </si>
  <si>
    <t>mm2045</t>
  </si>
  <si>
    <t>Branchial arch, Forebrain</t>
  </si>
  <si>
    <t>mm1947</t>
  </si>
  <si>
    <t>Hindbrain, Other</t>
  </si>
  <si>
    <t>mm1408</t>
  </si>
  <si>
    <t>mm1862</t>
  </si>
  <si>
    <t>Branchial arch, Forebrain, Midbrain, Hindbrain, Neural tube, Eye</t>
  </si>
  <si>
    <t>mm2084</t>
  </si>
  <si>
    <t>Tail, Neural tube</t>
  </si>
  <si>
    <t>mm1969</t>
  </si>
  <si>
    <t>Ear, Tail, Dorsal root ganglion, Trigeminal V, Genital tubercle</t>
  </si>
  <si>
    <t>mm1824</t>
  </si>
  <si>
    <t>Tail, Dorsal root ganglion, Trigeminal V</t>
  </si>
  <si>
    <t>mm1873</t>
  </si>
  <si>
    <t>Genital tubercle</t>
  </si>
  <si>
    <t>mm1874</t>
  </si>
  <si>
    <t>Somite</t>
  </si>
  <si>
    <t>mm1879</t>
  </si>
  <si>
    <t>Forebrain, Midbrain, Hindbrain, Neural tube</t>
  </si>
  <si>
    <t>mm2169</t>
  </si>
  <si>
    <t>Heart, Genital tubercle</t>
  </si>
  <si>
    <t>mm1892</t>
  </si>
  <si>
    <t>Ear</t>
  </si>
  <si>
    <t>mm1893</t>
  </si>
  <si>
    <t>Forebrain, Hindbrain</t>
  </si>
  <si>
    <t>mm1410</t>
  </si>
  <si>
    <t>mm1896</t>
  </si>
  <si>
    <t>Nose</t>
  </si>
  <si>
    <t>mm1897</t>
  </si>
  <si>
    <t>Branchial arch, Cranial nerve, Heart</t>
  </si>
  <si>
    <t>mm1963</t>
  </si>
  <si>
    <t>Facial mesenchyme, Nose</t>
  </si>
  <si>
    <t>mm2192</t>
  </si>
  <si>
    <t>Heart</t>
  </si>
  <si>
    <t>mm1902</t>
  </si>
  <si>
    <t>Branchial arch, Forebrain, Midbrain, Hindbrain</t>
  </si>
  <si>
    <t>hs1213</t>
  </si>
  <si>
    <t>mm1911</t>
  </si>
  <si>
    <t>Branchial arch, Ear</t>
  </si>
  <si>
    <t>mm2019</t>
  </si>
  <si>
    <t>hs111</t>
  </si>
  <si>
    <t>Forebrain, Neural tube</t>
  </si>
  <si>
    <t>mm1912</t>
  </si>
  <si>
    <t>Facial mesenchyme, Forebrain</t>
  </si>
  <si>
    <t>mm1915</t>
  </si>
  <si>
    <t>Branchial arch, Nose, Midbrain, Heart</t>
  </si>
  <si>
    <t>mm1916</t>
  </si>
  <si>
    <t>mm1917</t>
  </si>
  <si>
    <t>Branchial arch</t>
  </si>
  <si>
    <t>mm1443</t>
  </si>
  <si>
    <t>mm1923</t>
  </si>
  <si>
    <t>Eye</t>
  </si>
  <si>
    <t>mm2171</t>
  </si>
  <si>
    <t>mm652</t>
  </si>
  <si>
    <t>Cranial nerve, Dorsal root ganglion, Heart</t>
  </si>
  <si>
    <t>mm2028</t>
  </si>
  <si>
    <t>Forebrain</t>
  </si>
  <si>
    <t>mm1935</t>
  </si>
  <si>
    <t>mm1940</t>
  </si>
  <si>
    <t>mm1941</t>
  </si>
  <si>
    <t>mm1827</t>
  </si>
  <si>
    <t>Hindbrain</t>
  </si>
  <si>
    <t>Table Footnotes and column definitions</t>
  </si>
  <si>
    <t>Purpose of analysis</t>
  </si>
  <si>
    <t>This table contains the standardized 54-enhancer signal matrix used for the comparative analyses in Main Figs. 4–5 and Supplementary Tables S7–S8.</t>
  </si>
  <si>
    <t>Enhancer sets</t>
  </si>
  <si>
    <t>The limb set contains 13 curated functionally supported Gli3 limb enhancers analyzed in this study. The comparison set contains 41 VISTA enhancers within the Gli3 region with reported non-limb activity and no limb annotation in the source records. The 'non_limb' class label is shorthand for this annotation-based comparison set and does not establish absence of limb activity under all developmental conditions.</t>
  </si>
  <si>
    <t>Coordinate systems</t>
  </si>
  <si>
    <t>HOXA13, HOXD13 and GLI3 signals were quantified in GRCm38/mm10 coordinates. H3K4me1, H3K27ac, H3K4me3, HAND2, p300 and PITX1 signals were quantified in NCBI37/mm9 coordinates after successful mm10-to-mm9 liftOver of the enhancer intervals.</t>
  </si>
  <si>
    <t>Signal calculation</t>
  </si>
  <si>
    <t>Mean signal values were calculated across each enhancer interval using bigWigAverageOverBed.</t>
  </si>
  <si>
    <t>Mean0 definition</t>
  </si>
  <si>
    <t>HOXA13 and HOXD13</t>
  </si>
  <si>
    <t>HOXA13_mean0 and HOXD13_mean0 report interval mean0 signal from the standardized matched processed HOXA13 and HOXD13 tracks in mm10 coordinates. HOX13_sum_mean0 is their arithmetic sum. These values belong to the standardized 54-enhancer workflow and are distinct from the figure-specific representation in Supplementary Table S2.</t>
  </si>
  <si>
    <t>GLI3</t>
  </si>
  <si>
    <t>GLI3_mean0 reports mean GLI3 log2 ChIP/input signal across each enhancer interval in mm10 coordinates.</t>
  </si>
  <si>
    <t>Histone marks</t>
  </si>
  <si>
    <t>H3K4me1_mean0, H3K27ac_mean0 and H3K4me3_mean0 report mean chromatin-mark signal across mm9 intervals.</t>
  </si>
  <si>
    <t>HAND2, p300 and PITX1</t>
  </si>
  <si>
    <t>HAND2_WT_mean0 reports the standardized HAND2 WT signal from GSE55707/GSM1342122; the source material comprised pooled E10.5 Hand2-expressing embryonic tissues including limb buds, heart and branchial arches. The separate limb-specific GSM1447340 track was retained as descriptive-only and is not part of this standardized 54-enhancer matrix. p300_mean0 reports p300 signal, PITX1_HL1_mean0 and PITX1_HL2_mean0 report the two PITX1 hindlimb tracks, and PITX1_mean0_average_HL1_HL2 is their arithmetic mean.</t>
  </si>
  <si>
    <t>Interpretation</t>
  </si>
  <si>
    <t>Strong bulk signal in an annotation-based comparison enhancer does not establish limb activity, and weak or absent bulk signal in a functionally supported limb enhancer does not negate its functional evidence. Individual occupancy or chromatin layers are therefore interpreted as contextual rather than as sufficient indicators of tissue-specific enhancer activity.</t>
  </si>
  <si>
    <t>Main conclusion</t>
  </si>
  <si>
    <t>The comparison illustrates heterogeneity and overlap across regulatory layers. Functional validation remains the anchor for enhancer status, whereas transcription-factor occupancy, chromatin marks and genomic context provide complementary correlative evidence.</t>
  </si>
  <si>
    <t>Supplementary Table S6b. Descriptive signal summaries for curated Gli3 limb enhancers and the annotation-based Gli3-region VISTA comparison set</t>
  </si>
  <si>
    <t>Signal</t>
  </si>
  <si>
    <t>N</t>
  </si>
  <si>
    <t>Mean</t>
  </si>
  <si>
    <t>Median</t>
  </si>
  <si>
    <t>Min</t>
  </si>
  <si>
    <t>Max</t>
  </si>
  <si>
    <t>Interpretive note</t>
  </si>
  <si>
    <t>Descriptive summary only; 'non_limb' is an annotation-based comparison label.</t>
  </si>
  <si>
    <t>Supplementary Table S7. Single-layer empirical AUC summary underlying Main Fig. 5E</t>
  </si>
  <si>
    <t>Thirteen curated functionally supported Gli3 limb enhancers versus 41 annotation-based Gli3-region VISTA comparison enhancers.</t>
  </si>
  <si>
    <t>AUC is descriptive for these fixed enhancer sets; higher signal is coded toward the limb class.</t>
  </si>
  <si>
    <t>n (limb)</t>
  </si>
  <si>
    <t>n (comparison)</t>
  </si>
  <si>
    <t>Limb mean</t>
  </si>
  <si>
    <t>Comparison mean</t>
  </si>
  <si>
    <t>Limb median</t>
  </si>
  <si>
    <t>Comparison median</t>
  </si>
  <si>
    <t>AUC (limb high)</t>
  </si>
  <si>
    <t>HAND2</t>
  </si>
  <si>
    <t>HOXD13</t>
  </si>
  <si>
    <t>HOX13 combined (HOXA13 + HOXD13)</t>
  </si>
  <si>
    <t>p300</t>
  </si>
  <si>
    <t>H3K4me1</t>
  </si>
  <si>
    <t>HOXA13</t>
  </si>
  <si>
    <t>H3K4me1 + H3K27ac sum</t>
  </si>
  <si>
    <t>PITX1</t>
  </si>
  <si>
    <t>H3K27ac</t>
  </si>
  <si>
    <t>H3K4me3</t>
  </si>
  <si>
    <t>1) Values are derived from the frozen standardized 54-enhancer matrix in Supplementary Table S6a. The 41 'non_limb' records constitute the annotation-based comparison set.</t>
  </si>
  <si>
    <t>2) AUC was calculated empirically as P(signal_limb &gt; signal_comparison) + 0.5 × P(tie). AUC = 0.5 indicates chance-level ordering; AUC &lt; 0.5 means that higher signal tends to occur in the comparison set. These AUCs describe separation of the fixed enhancer sets and are not cross-validated classifier performance estimates.</t>
  </si>
  <si>
    <t>3) Rows are displayed in decreasing AUC order to correspond to the single-layer comparison shown in Main Fig. 5E. No formal significance threshold is applied.</t>
  </si>
  <si>
    <t>4) Approximate Mann–Whitney p-values present in the audited source worksheet were not carried into the publication-facing table because inferential testing is not used as the basis for the manuscript's interpretation.</t>
  </si>
  <si>
    <t>5) 'H3K4me1 + H3K27ac sum' is the arithmetic sum of the two mean0 chromatin signals retained for consistency with Main Fig. 5B; it is a descriptive combined variable, not a functional activity score.</t>
  </si>
  <si>
    <t>Supplementary Table S8. Within-layer rank-percentile matrix underlying Main Fig. 4</t>
  </si>
  <si>
    <t>Fifty-four Gli3-region enhancers (13 curated limb enhancers and 41 annotation-based VISTA comparison enhancers) ranked independently within each of nine regulatory layers.</t>
  </si>
  <si>
    <t>Rows are ordered by the unweighted mean rank percentile for visualization only; class labels do not enter the ranking.</t>
  </si>
  <si>
    <t>Analysis class</t>
  </si>
  <si>
    <t>Source activity annotation</t>
  </si>
  <si>
    <t>Mean rank percentile</t>
  </si>
  <si>
    <t>1) The computational class labels 'limb' and 'non_limb' are retained for traceability to the standardized analysis. 'non_limb' denotes the annotation-based comparison set of Gli3-region VISTA enhancers with reported non-limb activity and no limb annotation in the source records; it does not establish absence of limb activity under all developmental conditions.</t>
  </si>
  <si>
    <t>2) For each regulatory layer, all 54 enhancers were ranked by signal using ascending average ranks divided by 54. Tied values receive the average of the occupied ranks. A higher percentile therefore denotes relatively higher signal within that layer.</t>
  </si>
  <si>
    <t>3) Mean rank percentile is the unweighted arithmetic mean of the nine within-layer percentiles (HOXA13, HOXD13, GLI3, H3K4me1, H3K27ac, H3K4me3, HAND2, p300 and PITX1). It is used only to order rows and construct the Main Fig. 4 heatmap; it is not an enhancer activity score or classifier.</t>
  </si>
  <si>
    <t>4) Rank percentiles were calculated from the standardized 54-enhancer signal matrix in Supplementary Table S6a. Class and source activity annotations are independent metadata and were not used to calculate the ranks.</t>
  </si>
  <si>
    <t>5) CNE14 corresponds to hs1586; mm1977 denotes its mouse orthologous element. The publication-facing identifier is 'CNE14/hs1586 (mouse ortholog: mm1977)'.</t>
  </si>
  <si>
    <t>6) The HAND2 layer uses the standardized GSE55707/GSM1342122 signal derived from pooled E10.5 Hand2-expressing embryonic tissues including limb buds, heart and branchial arches. Limb-specific GSM1447340 was retained as descriptive-only and is not part of this rank matrix.</t>
  </si>
  <si>
    <t>Online Resource 2 (ESM_2.xlsx) | Supplementary Table S1. Enhancer-wise histone-mark signal underlying Fig. 2C (mm9)</t>
  </si>
  <si>
    <t>H3K4me1_plus_H3K27ac_sum_mean0</t>
  </si>
  <si>
    <t>Combined chromatin signal</t>
  </si>
  <si>
    <t>H3K4me1_plus_H3K27ac_sum_mean0 is the arithmetic sum of H3K4me1_mean0 and H3K27ac_mean0. It is a descriptive arithmetic sum of two enhancer-associated histone-mark signals for consistency with Main Fig. 5B and is not treated as a functional activity classifier.</t>
  </si>
  <si>
    <t>ONLINE RESOURCE 2 | SUPPLEMENTARY TABLES</t>
  </si>
  <si>
    <t>Manuscript and supplementary-file identification</t>
  </si>
  <si>
    <t>Article title</t>
  </si>
  <si>
    <t>Heterogeneous chromatin and transcription-factor signatures across functionally supported Gli3 limb enhancers in embryonic mouse limb</t>
  </si>
  <si>
    <t>Journal</t>
  </si>
  <si>
    <t>Mammalian Genome</t>
  </si>
  <si>
    <t>Author</t>
  </si>
  <si>
    <t>Amir Ali Abbasi</t>
  </si>
  <si>
    <t>Affiliation</t>
  </si>
  <si>
    <t>National Center for Bioinformatics, Program of Comparative and Evolutionary Genomics, Faculty of Biological Sciences, Quaid-i-Azam University, Islamabad 45320, Pakistan</t>
  </si>
  <si>
    <t>Corresponding author</t>
  </si>
  <si>
    <t>Email</t>
  </si>
  <si>
    <t>abbasiam@qau.edu.pk</t>
  </si>
  <si>
    <t>Supplementary designation</t>
  </si>
  <si>
    <t>Online Resource 2</t>
  </si>
  <si>
    <t>File name</t>
  </si>
  <si>
    <t>ESM_2.xlsx</t>
  </si>
  <si>
    <t>Content</t>
  </si>
  <si>
    <t>Supporting Information Tables S1–S8, arranged across 10 data worksheets.</t>
  </si>
  <si>
    <t>Worksheet index</t>
  </si>
  <si>
    <t>S1; S2; S3; S4a; S4b; S5; S6a; S6b; S7; S8</t>
  </si>
  <si>
    <t>Scope and interpretation</t>
  </si>
  <si>
    <t>This workbook contains supplementary genomic coordinates, chromatin-mark signals, transcription-factor occupancy, virtual 4C signals, standardized regulatory-layer matrices, and descriptive summaries for the Gli3-region enhancer comparison.</t>
  </si>
  <si>
    <t>The analysis contrasts 13 curated, functionally supported Gli3 limb enhancers with 41 VISTA Gli3-region elements with reported non-limb activity. The 41 comparison elements are not universally experimentally proven limb-negative controls.</t>
  </si>
  <si>
    <t>Functional evidence anchors enhancer identity. Chromatin marks, transcription-factor occupancy and chromatin-contact measures are contextual or correlative; they do not independently establish enhancer function or molecular mechanism.</t>
  </si>
  <si>
    <t>Combined H3K4me1 + H3K27ac values are descriptive sums, not validated functional activity scores. Reported AUCs describe separation between the fixed groups and are not cross-validated predictive performance.</t>
  </si>
  <si>
    <t>The data worksheets retain the original supporting-table numbering and provide table-specific descriptions, definitions and caveats.</t>
  </si>
  <si>
    <t>WT E11.5 hindlimb histone-mark ChIP-seq signal across the 13 curated Gli3 limb enhancer intervals. Workbook contains Supplementary Tables S1–S8 (10 worksheets) .</t>
  </si>
  <si>
    <r>
      <t xml:space="preserve">For individual signal columns, the suffix </t>
    </r>
    <r>
      <rPr>
        <sz val="10"/>
        <color theme="1"/>
        <rFont val="Arial Unicode MS"/>
      </rPr>
      <t>_mean0</t>
    </r>
    <r>
      <rPr>
        <sz val="11"/>
        <color theme="1"/>
        <rFont val="Calibri"/>
        <family val="2"/>
      </rPr>
      <t xml:space="preserve"> denotes the </t>
    </r>
    <r>
      <rPr>
        <sz val="10"/>
        <color theme="1"/>
        <rFont val="Arial Unicode MS"/>
      </rPr>
      <t>bigWigAverageOverBed</t>
    </r>
    <r>
      <rPr>
        <sz val="11"/>
        <color theme="1"/>
        <rFont val="Calibri"/>
        <family val="2"/>
      </rPr>
      <t xml:space="preserve"> mean0 statistic, which treats bases without coverage as zero when calculating the interval mean. Composite columns containing </t>
    </r>
    <r>
      <rPr>
        <sz val="10"/>
        <color theme="1"/>
        <rFont val="Arial Unicode MS"/>
      </rPr>
      <t>mean0</t>
    </r>
    <r>
      <rPr>
        <sz val="11"/>
        <color theme="1"/>
        <rFont val="Calibri"/>
        <family val="2"/>
      </rPr>
      <t xml:space="preserve"> represent arithmetic combinations of the corresponding individual mean0 values, as specified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</si>
</sst>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
    <numFmt numFmtId="166" formatCode="0.0000"/>
    <numFmt numFmtId="167" formatCode="0.0"/>
  </numFmts>
  <fonts count="31">
    <font>
      <sz val="11"/>
      <color theme="1"/>
      <name val="Calibri"/>
    </font>
    <font>
      <b/>
      <sz val="16"/>
      <name val="Calibri"/>
    </font>
    <font>
      <i/>
      <sz val="11"/>
      <color rgb="FF444444"/>
      <name val="Calibri"/>
    </font>
    <font>
      <b/>
      <sz val="14"/>
      <name val="Calibri"/>
    </font>
    <font>
      <b/>
      <sz val="11"/>
      <name val="Calibri"/>
    </font>
    <font>
      <sz val="11"/>
      <name val="Calibri"/>
    </font>
    <font>
      <i/>
      <sz val="10"/>
      <name val="Calibri"/>
    </font>
    <font>
      <sz val="10"/>
      <name val="Calibri"/>
    </font>
    <font>
      <b/>
      <sz val="12"/>
      <name val="Calibri"/>
    </font>
    <font>
      <i/>
      <sz val="10"/>
      <name val="Calibri"/>
    </font>
    <font>
      <b/>
      <sz val="14"/>
      <name val="Calibri"/>
    </font>
    <font>
      <sz val="11"/>
      <name val="Calibri"/>
    </font>
    <font>
      <b/>
      <sz val="11"/>
      <name val="Calibri"/>
    </font>
    <font>
      <i/>
      <sz val="10"/>
      <color rgb="FF404040"/>
      <name val="Calibri"/>
    </font>
    <font>
      <i/>
      <sz val="11"/>
      <color theme="1"/>
      <name val="Calibri"/>
    </font>
    <font>
      <i/>
      <sz val="10"/>
      <color rgb="FF333333"/>
      <name val="Calibri"/>
    </font>
    <font>
      <sz val="9"/>
      <name val="Arial"/>
    </font>
    <font>
      <b/>
      <sz val="12"/>
      <name val="Arial"/>
    </font>
    <font>
      <b/>
      <sz val="9"/>
      <name val="Arial"/>
    </font>
    <font>
      <sz val="8"/>
      <name val="Arial"/>
    </font>
    <font>
      <sz val="11"/>
      <color theme="1"/>
      <name val="Calibri"/>
      <family val="2"/>
    </font>
    <font>
      <b/>
      <sz val="12"/>
      <name val="Arial"/>
      <family val="2"/>
    </font>
    <font>
      <sz val="9"/>
      <name val="Arial"/>
      <family val="2"/>
    </font>
    <font>
      <sz val="9"/>
      <color theme="1"/>
      <name val="Calibri"/>
      <family val="2"/>
    </font>
    <font>
      <b/>
      <sz val="11"/>
      <name val="Calibri"/>
      <family val="2"/>
    </font>
    <font>
      <sz val="10"/>
      <color theme="1"/>
      <name val="Arial Unicode MS"/>
    </font>
    <font>
      <b/>
      <sz val="10"/>
      <name val="Arial"/>
      <family val="2"/>
    </font>
    <font>
      <sz val="10"/>
      <color theme="1"/>
      <name val="Calibri"/>
      <family val="2"/>
    </font>
    <font>
      <b/>
      <sz val="16"/>
      <name val="Calibri"/>
      <family val="2"/>
    </font>
    <font>
      <b/>
      <sz val="12"/>
      <name val="Calibri"/>
      <family val="2"/>
    </font>
    <font>
      <sz val="11"/>
      <name val="Calibri"/>
      <family val="2"/>
    </font>
  </fonts>
  <fills count="8">
    <fill>
      <patternFill patternType="none"/>
    </fill>
    <fill>
      <patternFill patternType="gray125"/>
    </fill>
    <fill>
      <patternFill patternType="solid">
        <fgColor rgb="FFF2F2F2"/>
      </patternFill>
    </fill>
    <fill>
      <patternFill patternType="solid">
        <fgColor rgb="FFFCE4D6"/>
      </patternFill>
    </fill>
    <fill>
      <patternFill patternType="solid">
        <fgColor rgb="FFE2F0D9"/>
      </patternFill>
    </fill>
    <fill>
      <patternFill patternType="solid">
        <fgColor theme="0"/>
      </patternFill>
    </fill>
    <fill>
      <patternFill patternType="solid">
        <fgColor theme="0" tint="-0.24994659260841701"/>
        <bgColor indexed="65"/>
      </patternFill>
    </fill>
    <fill>
      <patternFill patternType="solid">
        <fgColor theme="0" tint="-0.14996795556505021"/>
        <bgColor indexed="64"/>
      </patternFill>
    </fill>
  </fills>
  <borders count="11">
    <border>
      <left/>
      <right/>
      <top/>
      <bottom/>
      <diagonal/>
    </border>
    <border>
      <left style="thin">
        <color rgb="FF9E9E9E"/>
      </left>
      <right style="thin">
        <color rgb="FF9E9E9E"/>
      </right>
      <top style="thin">
        <color rgb="FF9E9E9E"/>
      </top>
      <bottom style="thin">
        <color rgb="FF9E9E9E"/>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indexed="64"/>
      </bottom>
      <diagonal/>
    </border>
    <border>
      <left/>
      <right/>
      <top/>
      <bottom style="thin">
        <color indexed="64"/>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style="medium">
        <color indexed="64"/>
      </bottom>
      <diagonal/>
    </border>
  </borders>
  <cellStyleXfs count="1">
    <xf numFmtId="0" fontId="0" fillId="0" borderId="0"/>
  </cellStyleXfs>
  <cellXfs count="118">
    <xf numFmtId="0" fontId="0" fillId="0" borderId="0" xfId="0"/>
    <xf numFmtId="0" fontId="0" fillId="0" borderId="0" xfId="0" applyAlignment="1">
      <alignment horizontal="left"/>
    </xf>
    <xf numFmtId="0" fontId="0" fillId="0" borderId="1" xfId="0" applyBorder="1"/>
    <xf numFmtId="3" fontId="0" fillId="0" borderId="1" xfId="0" applyNumberFormat="1" applyBorder="1"/>
    <xf numFmtId="164" fontId="0" fillId="0" borderId="1" xfId="0" applyNumberFormat="1" applyBorder="1"/>
    <xf numFmtId="0" fontId="5" fillId="0" borderId="2" xfId="0" applyFont="1" applyBorder="1" applyAlignment="1">
      <alignment horizontal="left" vertical="top" wrapText="1"/>
    </xf>
    <xf numFmtId="1" fontId="5" fillId="0" borderId="2" xfId="0" applyNumberFormat="1" applyFont="1" applyBorder="1" applyAlignment="1">
      <alignment horizontal="left" vertical="top" wrapText="1"/>
    </xf>
    <xf numFmtId="165" fontId="5" fillId="0" borderId="2" xfId="0" applyNumberFormat="1" applyFont="1" applyBorder="1" applyAlignment="1">
      <alignment horizontal="left" vertical="top" wrapText="1"/>
    </xf>
    <xf numFmtId="0" fontId="5" fillId="0" borderId="3" xfId="0" applyFont="1" applyBorder="1" applyAlignment="1">
      <alignment horizontal="left" vertical="top" wrapText="1"/>
    </xf>
    <xf numFmtId="1" fontId="5" fillId="0" borderId="3" xfId="0" applyNumberFormat="1" applyFont="1" applyBorder="1" applyAlignment="1">
      <alignment horizontal="left" vertical="top" wrapText="1"/>
    </xf>
    <xf numFmtId="165" fontId="5" fillId="0" borderId="3" xfId="0" applyNumberFormat="1" applyFont="1" applyBorder="1" applyAlignment="1">
      <alignment horizontal="left" vertical="top" wrapText="1"/>
    </xf>
    <xf numFmtId="0" fontId="0" fillId="0" borderId="4" xfId="0" applyBorder="1" applyAlignment="1">
      <alignment horizontal="left" vertical="top"/>
    </xf>
    <xf numFmtId="3" fontId="0" fillId="0" borderId="4" xfId="0" applyNumberFormat="1" applyBorder="1" applyAlignment="1">
      <alignment horizontal="right" vertical="top"/>
    </xf>
    <xf numFmtId="0" fontId="0" fillId="0" borderId="4" xfId="0" applyBorder="1" applyAlignment="1">
      <alignment horizontal="left" vertical="top" wrapText="1"/>
    </xf>
    <xf numFmtId="0" fontId="0" fillId="0" borderId="5" xfId="0" applyBorder="1" applyAlignment="1">
      <alignment horizontal="left" vertical="top"/>
    </xf>
    <xf numFmtId="3" fontId="0" fillId="0" borderId="5" xfId="0" applyNumberFormat="1" applyBorder="1" applyAlignment="1">
      <alignment horizontal="right" vertical="top"/>
    </xf>
    <xf numFmtId="0" fontId="0" fillId="0" borderId="6" xfId="0" applyBorder="1" applyAlignment="1">
      <alignment horizontal="left"/>
    </xf>
    <xf numFmtId="0" fontId="0" fillId="0" borderId="4" xfId="0" applyBorder="1" applyAlignment="1">
      <alignment vertical="top" wrapText="1"/>
    </xf>
    <xf numFmtId="0" fontId="0" fillId="0" borderId="4" xfId="0" applyBorder="1"/>
    <xf numFmtId="0" fontId="4" fillId="5" borderId="4" xfId="0" applyFont="1" applyFill="1" applyBorder="1" applyAlignment="1">
      <alignment vertical="top" wrapText="1"/>
    </xf>
    <xf numFmtId="0" fontId="0" fillId="3" borderId="4" xfId="0" applyFill="1" applyBorder="1" applyAlignment="1">
      <alignment horizontal="left" vertical="top" wrapText="1"/>
    </xf>
    <xf numFmtId="1" fontId="0" fillId="0" borderId="4" xfId="0" applyNumberFormat="1" applyBorder="1" applyAlignment="1">
      <alignment horizontal="left" vertical="top" wrapText="1"/>
    </xf>
    <xf numFmtId="164" fontId="0" fillId="0" borderId="4" xfId="0" applyNumberFormat="1" applyBorder="1" applyAlignment="1">
      <alignment horizontal="left" vertical="top" wrapText="1"/>
    </xf>
    <xf numFmtId="0" fontId="0" fillId="2" borderId="4" xfId="0" applyFill="1" applyBorder="1" applyAlignment="1">
      <alignment horizontal="left" vertical="top" wrapText="1"/>
    </xf>
    <xf numFmtId="0" fontId="0" fillId="4" borderId="4" xfId="0" applyFill="1" applyBorder="1" applyAlignment="1">
      <alignment horizontal="left" vertical="top" wrapText="1"/>
    </xf>
    <xf numFmtId="1" fontId="0" fillId="2" borderId="4" xfId="0" applyNumberFormat="1" applyFill="1" applyBorder="1" applyAlignment="1">
      <alignment horizontal="left" vertical="top" wrapText="1"/>
    </xf>
    <xf numFmtId="164" fontId="0" fillId="2" borderId="4" xfId="0" applyNumberFormat="1" applyFill="1" applyBorder="1" applyAlignment="1">
      <alignment horizontal="left" vertical="top" wrapText="1"/>
    </xf>
    <xf numFmtId="0" fontId="8" fillId="0" borderId="0" xfId="0" applyFont="1"/>
    <xf numFmtId="0" fontId="0" fillId="0" borderId="5" xfId="0" applyBorder="1" applyAlignment="1">
      <alignment horizontal="left" vertical="top" wrapText="1"/>
    </xf>
    <xf numFmtId="0" fontId="0" fillId="3" borderId="5" xfId="0" applyFill="1" applyBorder="1" applyAlignment="1">
      <alignment horizontal="left" vertical="top" wrapText="1"/>
    </xf>
    <xf numFmtId="0" fontId="8" fillId="5" borderId="0" xfId="0" applyFont="1" applyFill="1" applyAlignment="1">
      <alignment horizontal="left" vertical="center"/>
    </xf>
    <xf numFmtId="0" fontId="11" fillId="5" borderId="0" xfId="0" applyFont="1" applyFill="1"/>
    <xf numFmtId="0" fontId="0" fillId="0" borderId="6" xfId="0" applyBorder="1"/>
    <xf numFmtId="164" fontId="0" fillId="0" borderId="0" xfId="0" applyNumberFormat="1" applyAlignment="1">
      <alignment horizontal="left"/>
    </xf>
    <xf numFmtId="164" fontId="0" fillId="0" borderId="6" xfId="0" applyNumberFormat="1" applyBorder="1" applyAlignment="1">
      <alignment horizontal="left"/>
    </xf>
    <xf numFmtId="0" fontId="12" fillId="6" borderId="0" xfId="0" applyFont="1" applyFill="1" applyAlignment="1">
      <alignment horizontal="left" vertical="center" wrapText="1"/>
    </xf>
    <xf numFmtId="0" fontId="11" fillId="6" borderId="0" xfId="0" applyFont="1" applyFill="1" applyAlignment="1">
      <alignment horizontal="left"/>
    </xf>
    <xf numFmtId="0" fontId="0" fillId="6" borderId="0" xfId="0" applyFill="1"/>
    <xf numFmtId="0" fontId="12" fillId="6" borderId="1" xfId="0" applyFont="1" applyFill="1" applyBorder="1" applyAlignment="1">
      <alignment horizontal="left" vertical="center"/>
    </xf>
    <xf numFmtId="0" fontId="4" fillId="6" borderId="2" xfId="0" applyFont="1" applyFill="1" applyBorder="1" applyAlignment="1">
      <alignment horizontal="left" vertical="center" wrapText="1"/>
    </xf>
    <xf numFmtId="0" fontId="14" fillId="0" borderId="0" xfId="0" applyFont="1"/>
    <xf numFmtId="0" fontId="12" fillId="6" borderId="4" xfId="0" applyFont="1" applyFill="1" applyBorder="1" applyAlignment="1">
      <alignment horizontal="left" vertical="center" wrapText="1"/>
    </xf>
    <xf numFmtId="0" fontId="0" fillId="5" borderId="4" xfId="0" applyFill="1" applyBorder="1" applyAlignment="1">
      <alignment horizontal="left" vertical="top"/>
    </xf>
    <xf numFmtId="3" fontId="0" fillId="5" borderId="4" xfId="0" applyNumberFormat="1" applyFill="1" applyBorder="1" applyAlignment="1">
      <alignment horizontal="right" vertical="top"/>
    </xf>
    <xf numFmtId="164" fontId="0" fillId="5" borderId="4" xfId="0" applyNumberFormat="1" applyFill="1" applyBorder="1" applyAlignment="1">
      <alignment horizontal="right" vertical="top"/>
    </xf>
    <xf numFmtId="166" fontId="0" fillId="5" borderId="4" xfId="0" applyNumberFormat="1" applyFill="1" applyBorder="1" applyAlignment="1">
      <alignment horizontal="right" vertical="top"/>
    </xf>
    <xf numFmtId="167" fontId="0" fillId="5" borderId="4" xfId="0" applyNumberFormat="1" applyFill="1" applyBorder="1" applyAlignment="1">
      <alignment horizontal="right" vertical="top"/>
    </xf>
    <xf numFmtId="0" fontId="0" fillId="5" borderId="4" xfId="0" applyFill="1" applyBorder="1" applyAlignment="1">
      <alignment horizontal="left" vertical="top" wrapText="1"/>
    </xf>
    <xf numFmtId="0" fontId="0" fillId="5" borderId="0" xfId="0" applyFill="1"/>
    <xf numFmtId="0" fontId="10" fillId="5" borderId="0" xfId="0" applyFont="1" applyFill="1" applyAlignment="1">
      <alignment horizontal="left" vertical="center" wrapText="1"/>
    </xf>
    <xf numFmtId="0" fontId="10" fillId="5" borderId="0" xfId="0" applyFont="1" applyFill="1" applyAlignment="1">
      <alignment horizontal="left"/>
    </xf>
    <xf numFmtId="0" fontId="16" fillId="0" borderId="7" xfId="0" applyFont="1" applyBorder="1"/>
    <xf numFmtId="0" fontId="16" fillId="0" borderId="8" xfId="0" applyFont="1" applyBorder="1" applyAlignment="1">
      <alignment horizontal="left" vertical="center"/>
    </xf>
    <xf numFmtId="1" fontId="16" fillId="0" borderId="8" xfId="0" applyNumberFormat="1" applyFont="1" applyBorder="1" applyAlignment="1">
      <alignment horizontal="center" vertical="center"/>
    </xf>
    <xf numFmtId="164" fontId="16" fillId="0" borderId="8" xfId="0" applyNumberFormat="1" applyFont="1" applyBorder="1" applyAlignment="1">
      <alignment horizontal="center" vertical="center"/>
    </xf>
    <xf numFmtId="0" fontId="16" fillId="0" borderId="8" xfId="0" applyFont="1" applyBorder="1" applyAlignment="1">
      <alignment horizontal="left" vertical="center" wrapText="1"/>
    </xf>
    <xf numFmtId="0" fontId="11" fillId="5" borderId="0" xfId="0" applyFont="1" applyFill="1" applyAlignment="1">
      <alignment horizontal="left"/>
    </xf>
    <xf numFmtId="0" fontId="0" fillId="5" borderId="5" xfId="0" applyFill="1" applyBorder="1" applyAlignment="1">
      <alignment horizontal="left" vertical="top"/>
    </xf>
    <xf numFmtId="3" fontId="0" fillId="5" borderId="5" xfId="0" applyNumberFormat="1" applyFill="1" applyBorder="1" applyAlignment="1">
      <alignment horizontal="right" vertical="top"/>
    </xf>
    <xf numFmtId="164" fontId="0" fillId="5" borderId="5" xfId="0" applyNumberFormat="1" applyFill="1" applyBorder="1" applyAlignment="1">
      <alignment horizontal="right" vertical="top"/>
    </xf>
    <xf numFmtId="166" fontId="0" fillId="5" borderId="5" xfId="0" applyNumberFormat="1" applyFill="1" applyBorder="1" applyAlignment="1">
      <alignment horizontal="right" vertical="top"/>
    </xf>
    <xf numFmtId="167" fontId="0" fillId="5" borderId="5" xfId="0" applyNumberFormat="1" applyFill="1" applyBorder="1" applyAlignment="1">
      <alignment horizontal="right" vertical="top"/>
    </xf>
    <xf numFmtId="0" fontId="0" fillId="5" borderId="5" xfId="0" applyFill="1" applyBorder="1" applyAlignment="1">
      <alignment horizontal="left" vertical="top" wrapText="1"/>
    </xf>
    <xf numFmtId="0" fontId="18" fillId="6" borderId="8" xfId="0" applyFont="1" applyFill="1" applyBorder="1" applyAlignment="1">
      <alignment horizontal="center" vertical="center" wrapText="1"/>
    </xf>
    <xf numFmtId="0" fontId="16" fillId="0" borderId="9" xfId="0" applyFont="1" applyBorder="1" applyAlignment="1">
      <alignment horizontal="left" vertical="center"/>
    </xf>
    <xf numFmtId="1" fontId="16" fillId="0" borderId="9" xfId="0" applyNumberFormat="1" applyFont="1" applyBorder="1" applyAlignment="1">
      <alignment horizontal="center" vertical="center"/>
    </xf>
    <xf numFmtId="164" fontId="16" fillId="0" borderId="9" xfId="0" applyNumberFormat="1" applyFont="1" applyBorder="1" applyAlignment="1">
      <alignment horizontal="center" vertical="center"/>
    </xf>
    <xf numFmtId="0" fontId="0" fillId="0" borderId="7" xfId="0" applyBorder="1" applyAlignment="1">
      <alignment horizontal="left"/>
    </xf>
    <xf numFmtId="0" fontId="18" fillId="6" borderId="7" xfId="0" applyFont="1" applyFill="1" applyBorder="1" applyAlignment="1">
      <alignment horizontal="center" vertical="center" wrapText="1"/>
    </xf>
    <xf numFmtId="0" fontId="11" fillId="5" borderId="7" xfId="0" applyFont="1" applyFill="1" applyBorder="1" applyAlignment="1">
      <alignment horizontal="left"/>
    </xf>
    <xf numFmtId="0" fontId="12" fillId="6" borderId="4" xfId="0" applyFont="1" applyFill="1" applyBorder="1" applyAlignment="1">
      <alignment horizontal="left" wrapText="1"/>
    </xf>
    <xf numFmtId="0" fontId="3" fillId="0" borderId="0" xfId="0" applyFont="1" applyAlignment="1">
      <alignment horizontal="left" vertical="center" wrapText="1"/>
    </xf>
    <xf numFmtId="0" fontId="0" fillId="0" borderId="0" xfId="0" applyAlignment="1">
      <alignment wrapText="1"/>
    </xf>
    <xf numFmtId="0" fontId="14" fillId="0" borderId="0" xfId="0" applyFont="1" applyAlignment="1">
      <alignment horizontal="left" vertical="top" wrapText="1"/>
    </xf>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15"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xf numFmtId="0" fontId="4" fillId="0" borderId="0" xfId="0" applyFont="1" applyAlignment="1">
      <alignment horizontal="left" vertical="top" wrapText="1"/>
    </xf>
    <xf numFmtId="0" fontId="7" fillId="0" borderId="0" xfId="0" applyFont="1" applyAlignment="1">
      <alignment horizontal="left" vertical="top" wrapText="1"/>
    </xf>
    <xf numFmtId="0" fontId="12" fillId="0" borderId="0" xfId="0" applyFont="1" applyAlignment="1">
      <alignment horizontal="left" vertical="top" wrapText="1"/>
    </xf>
    <xf numFmtId="0" fontId="19" fillId="0" borderId="7" xfId="0" applyFont="1" applyBorder="1" applyAlignment="1">
      <alignment horizontal="left" vertical="top" wrapText="1"/>
    </xf>
    <xf numFmtId="0" fontId="16" fillId="0" borderId="7" xfId="0" applyFont="1" applyBorder="1" applyAlignment="1">
      <alignment horizontal="left" vertical="center" wrapText="1"/>
    </xf>
    <xf numFmtId="0" fontId="18" fillId="0" borderId="7" xfId="0" applyFont="1" applyBorder="1"/>
    <xf numFmtId="0" fontId="16" fillId="0" borderId="0" xfId="0" applyFont="1" applyAlignment="1">
      <alignment horizontal="left" vertical="center" wrapText="1"/>
    </xf>
    <xf numFmtId="0" fontId="22" fillId="0" borderId="7" xfId="0" applyFont="1" applyBorder="1" applyAlignment="1">
      <alignment horizontal="left" vertical="top" wrapText="1"/>
    </xf>
    <xf numFmtId="0" fontId="23" fillId="0" borderId="0" xfId="0" applyFont="1"/>
    <xf numFmtId="0" fontId="24" fillId="6" borderId="4" xfId="0" applyFont="1" applyFill="1" applyBorder="1" applyAlignment="1">
      <alignment horizontal="left" vertical="center" wrapText="1"/>
    </xf>
    <xf numFmtId="0" fontId="16" fillId="0" borderId="10" xfId="0" applyFont="1" applyBorder="1" applyAlignment="1">
      <alignment horizontal="left" vertical="center" wrapText="1"/>
    </xf>
    <xf numFmtId="1" fontId="16" fillId="0" borderId="10" xfId="0" applyNumberFormat="1" applyFont="1" applyBorder="1" applyAlignment="1">
      <alignment horizontal="center" vertical="center"/>
    </xf>
    <xf numFmtId="164" fontId="16" fillId="0" borderId="10" xfId="0" applyNumberFormat="1" applyFont="1" applyBorder="1" applyAlignment="1">
      <alignment horizontal="center" vertical="center"/>
    </xf>
    <xf numFmtId="0" fontId="29" fillId="0" borderId="0" xfId="0" applyFont="1" applyFill="1"/>
    <xf numFmtId="0" fontId="24" fillId="0" borderId="0" xfId="0" applyFont="1" applyFill="1" applyAlignment="1">
      <alignment vertical="center"/>
    </xf>
    <xf numFmtId="0" fontId="1" fillId="7" borderId="0" xfId="0" applyFont="1" applyFill="1" applyAlignment="1">
      <alignment horizontal="left" vertical="center"/>
    </xf>
    <xf numFmtId="0" fontId="0" fillId="7" borderId="0" xfId="0" applyFill="1"/>
    <xf numFmtId="0" fontId="3" fillId="7" borderId="0" xfId="0" applyFont="1" applyFill="1" applyAlignment="1">
      <alignment horizontal="left" vertical="center"/>
    </xf>
    <xf numFmtId="0" fontId="3" fillId="7" borderId="0" xfId="0" applyFont="1" applyFill="1" applyAlignment="1">
      <alignment horizontal="left" vertical="top" wrapText="1"/>
    </xf>
    <xf numFmtId="0" fontId="3" fillId="0" borderId="0" xfId="0" applyFont="1" applyFill="1" applyAlignment="1">
      <alignment horizontal="left" vertical="top" wrapText="1"/>
    </xf>
    <xf numFmtId="0" fontId="0" fillId="0" borderId="0" xfId="0" applyFill="1"/>
    <xf numFmtId="0" fontId="3" fillId="7" borderId="0" xfId="0" applyFont="1" applyFill="1" applyAlignment="1">
      <alignment horizontal="left" vertical="center" wrapText="1"/>
    </xf>
    <xf numFmtId="0" fontId="26" fillId="0" borderId="7" xfId="0" applyFont="1" applyBorder="1"/>
    <xf numFmtId="0" fontId="27" fillId="0" borderId="0" xfId="0" applyFont="1"/>
    <xf numFmtId="0" fontId="17" fillId="7" borderId="7" xfId="0" applyFont="1" applyFill="1" applyBorder="1" applyAlignment="1">
      <alignment horizontal="left" vertical="center"/>
    </xf>
    <xf numFmtId="0" fontId="10" fillId="7" borderId="0" xfId="0" applyFont="1" applyFill="1" applyAlignment="1">
      <alignment horizontal="left" vertical="center" wrapText="1"/>
    </xf>
    <xf numFmtId="0" fontId="10" fillId="7" borderId="0" xfId="0" applyFont="1" applyFill="1" applyAlignment="1">
      <alignment horizontal="left"/>
    </xf>
    <xf numFmtId="0" fontId="0" fillId="0" borderId="7" xfId="0" applyBorder="1"/>
    <xf numFmtId="0" fontId="23" fillId="0" borderId="7" xfId="0" applyFont="1" applyBorder="1"/>
    <xf numFmtId="0" fontId="17" fillId="7" borderId="0" xfId="0" applyFont="1" applyFill="1" applyAlignment="1">
      <alignment horizontal="left" vertical="center"/>
    </xf>
    <xf numFmtId="0" fontId="21" fillId="7" borderId="0" xfId="0" applyFont="1" applyFill="1" applyAlignment="1">
      <alignment horizontal="left" vertical="center"/>
    </xf>
    <xf numFmtId="0" fontId="30" fillId="7" borderId="0" xfId="0" applyFont="1" applyFill="1"/>
    <xf numFmtId="0" fontId="27" fillId="0" borderId="7" xfId="0" applyFont="1" applyBorder="1"/>
    <xf numFmtId="0" fontId="28" fillId="7" borderId="0" xfId="0" applyFont="1" applyFill="1" applyAlignment="1">
      <alignment vertical="center"/>
    </xf>
    <xf numFmtId="0" fontId="0" fillId="0" borderId="7" xfId="0" applyBorder="1" applyAlignment="1">
      <alignment wrapText="1"/>
    </xf>
  </cellXfs>
  <cellStyles count="1">
    <cellStyle name="Normal" xfId="0" builtinId="0"/>
  </cellStyles>
  <dxfs count="9">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rtual4C_Table" displayName="Virtual4C_Table" ref="A10:H148" dataDxfId="8">
  <autoFilter ref="A10:H148" xr:uid="{00000000-0009-0000-0100-000001000000}"/>
  <tableColumns count="8">
    <tableColumn id="1" xr3:uid="{00000000-0010-0000-0000-000001000000}" name="Chromosome (mm9)" dataDxfId="7"/>
    <tableColumn id="2" xr3:uid="{00000000-0010-0000-0000-000002000000}" name="Bin start (bp)" dataDxfId="6"/>
    <tableColumn id="3" xr3:uid="{00000000-0010-0000-0000-000003000000}" name="Bin end (bp)" dataDxfId="5"/>
    <tableColumn id="4" xr3:uid="{00000000-0010-0000-0000-000004000000}" name="Bin center (bp)" dataDxfId="4"/>
    <tableColumn id="5" xr3:uid="{00000000-0010-0000-0000-000005000000}" name="Position (Mb, center)" dataDxfId="3"/>
    <tableColumn id="6" xr3:uid="{00000000-0010-0000-0000-000006000000}" name="Virtual 4C signal (O/E, KR)" dataDxfId="2"/>
    <tableColumn id="7" xr3:uid="{00000000-0010-0000-0000-000007000000}" name="Distance from promoter bin (kb)" dataDxfId="1"/>
    <tableColumn id="8" xr3:uid="{00000000-0010-0000-0000-000008000000}" name="Enhancer overlap (mm9)"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workbookViewId="0">
      <pane ySplit="3" topLeftCell="A4" activePane="bottomLeft" state="frozen"/>
      <selection pane="bottomLeft" activeCell="A22" sqref="A22:F22"/>
    </sheetView>
  </sheetViews>
  <sheetFormatPr defaultRowHeight="14.4"/>
  <cols>
    <col min="1" max="1" width="21.109375" customWidth="1"/>
    <col min="2" max="2" width="21" customWidth="1"/>
    <col min="3" max="3" width="10" customWidth="1"/>
    <col min="4" max="5" width="20" customWidth="1"/>
    <col min="6" max="6" width="81.6640625" customWidth="1"/>
  </cols>
  <sheetData>
    <row r="1" spans="1:6" ht="28.05" customHeight="1">
      <c r="A1" s="98" t="s">
        <v>274</v>
      </c>
      <c r="B1" s="99"/>
      <c r="C1" s="99"/>
      <c r="D1" s="99"/>
      <c r="E1" s="99"/>
      <c r="F1" s="99"/>
    </row>
    <row r="2" spans="1:6" ht="17.399999999999999" customHeight="1">
      <c r="A2" s="75" t="s">
        <v>305</v>
      </c>
      <c r="B2" s="74"/>
      <c r="C2" s="74"/>
      <c r="D2" s="74"/>
      <c r="E2" s="74"/>
      <c r="F2" s="74"/>
    </row>
    <row r="3" spans="1:6" s="36" customFormat="1" ht="22.05" customHeight="1">
      <c r="A3" s="35" t="s">
        <v>0</v>
      </c>
      <c r="B3" s="35" t="s">
        <v>1</v>
      </c>
      <c r="C3" s="35" t="s">
        <v>2</v>
      </c>
      <c r="D3" s="35" t="s">
        <v>3</v>
      </c>
      <c r="E3" s="35" t="s">
        <v>4</v>
      </c>
      <c r="F3" s="35" t="s">
        <v>5</v>
      </c>
    </row>
    <row r="4" spans="1:6">
      <c r="A4" s="1" t="s">
        <v>6</v>
      </c>
      <c r="B4" s="1" t="s">
        <v>7</v>
      </c>
      <c r="C4" s="1" t="s">
        <v>8</v>
      </c>
      <c r="D4" s="33">
        <v>1.528170822670619</v>
      </c>
      <c r="E4" s="33">
        <v>0.5635627275923728</v>
      </c>
      <c r="F4" s="33">
        <v>0.2270504434318365</v>
      </c>
    </row>
    <row r="5" spans="1:6">
      <c r="A5" s="1" t="s">
        <v>9</v>
      </c>
      <c r="B5" s="1" t="s">
        <v>9</v>
      </c>
      <c r="C5" s="1" t="s">
        <v>8</v>
      </c>
      <c r="D5" s="33">
        <v>0.67988515901721125</v>
      </c>
      <c r="E5" s="33">
        <v>0.30267725655371919</v>
      </c>
      <c r="F5" s="33">
        <v>0.1144345160921879</v>
      </c>
    </row>
    <row r="6" spans="1:6">
      <c r="A6" s="1" t="s">
        <v>10</v>
      </c>
      <c r="B6" s="1" t="s">
        <v>10</v>
      </c>
      <c r="C6" s="1" t="s">
        <v>8</v>
      </c>
      <c r="D6" s="33">
        <v>0.60133244252630647</v>
      </c>
      <c r="E6" s="33">
        <v>0.3230194116003659</v>
      </c>
      <c r="F6" s="33">
        <v>7.9216215514661001E-2</v>
      </c>
    </row>
    <row r="7" spans="1:6">
      <c r="A7" s="1" t="s">
        <v>11</v>
      </c>
      <c r="B7" s="1" t="s">
        <v>11</v>
      </c>
      <c r="C7" s="1" t="s">
        <v>8</v>
      </c>
      <c r="D7" s="33">
        <v>0.45121733559786492</v>
      </c>
      <c r="E7" s="33">
        <v>0.26770851901572118</v>
      </c>
      <c r="F7" s="33">
        <v>9.0027788890370802E-2</v>
      </c>
    </row>
    <row r="8" spans="1:6">
      <c r="A8" s="1" t="s">
        <v>12</v>
      </c>
      <c r="B8" s="1" t="s">
        <v>12</v>
      </c>
      <c r="C8" s="1" t="s">
        <v>8</v>
      </c>
      <c r="D8" s="33">
        <v>0.38192035713489503</v>
      </c>
      <c r="E8" s="33">
        <v>8.4930017803010099E-2</v>
      </c>
      <c r="F8" s="33">
        <v>8.0758899450302096E-2</v>
      </c>
    </row>
    <row r="9" spans="1:6">
      <c r="A9" s="1" t="s">
        <v>13</v>
      </c>
      <c r="B9" s="1" t="s">
        <v>13</v>
      </c>
      <c r="C9" s="1" t="s">
        <v>8</v>
      </c>
      <c r="D9" s="33">
        <v>0.28111632059602171</v>
      </c>
      <c r="E9" s="33">
        <v>9.5475840068915296E-2</v>
      </c>
      <c r="F9" s="33">
        <v>0</v>
      </c>
    </row>
    <row r="10" spans="1:6">
      <c r="A10" s="1" t="s">
        <v>14</v>
      </c>
      <c r="B10" s="1" t="s">
        <v>14</v>
      </c>
      <c r="C10" s="1" t="s">
        <v>15</v>
      </c>
      <c r="D10" s="33">
        <v>0.34602543578268041</v>
      </c>
      <c r="E10" s="33">
        <v>0.22618323462954329</v>
      </c>
      <c r="F10" s="33">
        <v>0.13359176784304819</v>
      </c>
    </row>
    <row r="11" spans="1:6">
      <c r="A11" s="1" t="s">
        <v>16</v>
      </c>
      <c r="B11" s="1" t="s">
        <v>16</v>
      </c>
      <c r="C11" s="1" t="s">
        <v>15</v>
      </c>
      <c r="D11" s="33">
        <v>0.20978903432577689</v>
      </c>
      <c r="E11" s="33">
        <v>0.17047674848652569</v>
      </c>
      <c r="F11" s="33">
        <v>7.0278210701469598E-2</v>
      </c>
    </row>
    <row r="12" spans="1:6">
      <c r="A12" s="1" t="s">
        <v>17</v>
      </c>
      <c r="B12" s="1" t="s">
        <v>17</v>
      </c>
      <c r="C12" s="1" t="s">
        <v>15</v>
      </c>
      <c r="D12" s="33">
        <v>0.12140342634494861</v>
      </c>
      <c r="E12" s="33">
        <v>8.9102983623836202E-2</v>
      </c>
      <c r="F12" s="33">
        <v>7.6510658913980401E-2</v>
      </c>
    </row>
    <row r="13" spans="1:6">
      <c r="A13" s="1" t="s">
        <v>18</v>
      </c>
      <c r="B13" s="1" t="s">
        <v>18</v>
      </c>
      <c r="C13" s="1" t="s">
        <v>15</v>
      </c>
      <c r="D13" s="33">
        <v>0.10594144525045909</v>
      </c>
      <c r="E13" s="33">
        <v>0.1446320859772407</v>
      </c>
      <c r="F13" s="33">
        <v>7.4950086720378895E-2</v>
      </c>
    </row>
    <row r="14" spans="1:6">
      <c r="A14" s="1" t="s">
        <v>19</v>
      </c>
      <c r="B14" s="1" t="s">
        <v>19</v>
      </c>
      <c r="C14" s="1" t="s">
        <v>15</v>
      </c>
      <c r="D14" s="33">
        <v>9.9653377702339702E-2</v>
      </c>
      <c r="E14" s="33">
        <v>0.11658294353100709</v>
      </c>
      <c r="F14" s="33">
        <v>8.9324260188043805E-2</v>
      </c>
    </row>
    <row r="15" spans="1:6">
      <c r="A15" s="1" t="s">
        <v>20</v>
      </c>
      <c r="B15" s="1" t="s">
        <v>20</v>
      </c>
      <c r="C15" s="1" t="s">
        <v>15</v>
      </c>
      <c r="D15" s="33">
        <v>8.1839331258441395E-2</v>
      </c>
      <c r="E15" s="33">
        <v>3.1640656696878898E-2</v>
      </c>
      <c r="F15" s="33">
        <v>0</v>
      </c>
    </row>
    <row r="16" spans="1:6">
      <c r="A16" s="16" t="s">
        <v>21</v>
      </c>
      <c r="B16" s="16" t="s">
        <v>21</v>
      </c>
      <c r="C16" s="16" t="s">
        <v>15</v>
      </c>
      <c r="D16" s="34">
        <v>0</v>
      </c>
      <c r="E16" s="34">
        <v>0</v>
      </c>
      <c r="F16" s="34">
        <v>0</v>
      </c>
    </row>
    <row r="17" spans="1:6" ht="15.6" customHeight="1">
      <c r="A17" s="27" t="s">
        <v>22</v>
      </c>
    </row>
    <row r="18" spans="1:6" ht="15.6" customHeight="1">
      <c r="A18" s="73" t="s">
        <v>23</v>
      </c>
      <c r="B18" s="74"/>
      <c r="C18" s="74"/>
      <c r="D18" s="74"/>
      <c r="E18" s="74"/>
      <c r="F18" s="74"/>
    </row>
    <row r="19" spans="1:6" ht="31.2" customHeight="1">
      <c r="A19" s="73" t="s">
        <v>24</v>
      </c>
      <c r="B19" s="74"/>
      <c r="C19" s="74"/>
      <c r="D19" s="74"/>
      <c r="E19" s="74"/>
      <c r="F19" s="74"/>
    </row>
    <row r="20" spans="1:6" ht="19.2" customHeight="1">
      <c r="A20" s="73" t="s">
        <v>25</v>
      </c>
      <c r="B20" s="74"/>
      <c r="C20" s="74"/>
      <c r="D20" s="74"/>
      <c r="E20" s="74"/>
      <c r="F20" s="74"/>
    </row>
    <row r="21" spans="1:6" ht="19.2" customHeight="1">
      <c r="A21" s="73" t="s">
        <v>26</v>
      </c>
      <c r="B21" s="74"/>
      <c r="C21" s="74"/>
      <c r="D21" s="74"/>
      <c r="E21" s="74"/>
      <c r="F21" s="74"/>
    </row>
    <row r="22" spans="1:6" ht="19.8" customHeight="1">
      <c r="A22" s="73" t="s">
        <v>27</v>
      </c>
      <c r="B22" s="74"/>
      <c r="C22" s="74"/>
      <c r="D22" s="74"/>
      <c r="E22" s="74"/>
      <c r="F22" s="74"/>
    </row>
    <row r="23" spans="1:6" ht="19.2" customHeight="1">
      <c r="A23" s="73" t="s">
        <v>28</v>
      </c>
      <c r="B23" s="74"/>
      <c r="C23" s="74"/>
      <c r="D23" s="74"/>
      <c r="E23" s="74"/>
      <c r="F23" s="74"/>
    </row>
    <row r="24" spans="1:6" ht="18" customHeight="1">
      <c r="A24" s="73" t="s">
        <v>29</v>
      </c>
      <c r="B24" s="74"/>
      <c r="C24" s="74"/>
      <c r="D24" s="74"/>
      <c r="E24" s="74"/>
      <c r="F24" s="74"/>
    </row>
    <row r="25" spans="1:6" ht="28.05" customHeight="1">
      <c r="A25" s="73" t="s">
        <v>30</v>
      </c>
      <c r="B25" s="74"/>
      <c r="C25" s="74"/>
      <c r="D25" s="74"/>
      <c r="E25" s="74"/>
      <c r="F25" s="74"/>
    </row>
  </sheetData>
  <mergeCells count="10">
    <mergeCell ref="A25:F25"/>
    <mergeCell ref="A24:F24"/>
    <mergeCell ref="A2:F2"/>
    <mergeCell ref="A19:F19"/>
    <mergeCell ref="A1:F1"/>
    <mergeCell ref="A23:F23"/>
    <mergeCell ref="A22:F22"/>
    <mergeCell ref="A18:F18"/>
    <mergeCell ref="A20:F20"/>
    <mergeCell ref="A21:F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
  <sheetViews>
    <sheetView workbookViewId="0">
      <pane ySplit="3" topLeftCell="A4" activePane="bottomLeft" state="frozen"/>
      <selection pane="bottomLeft" activeCell="F26" sqref="F26"/>
    </sheetView>
  </sheetViews>
  <sheetFormatPr defaultRowHeight="14.4"/>
  <cols>
    <col min="1" max="1" width="8" customWidth="1"/>
    <col min="2" max="3" width="12" customWidth="1"/>
    <col min="4" max="4" width="38.5546875" customWidth="1"/>
    <col min="5" max="6" width="10" customWidth="1"/>
    <col min="7" max="8" width="15" customWidth="1"/>
    <col min="9" max="11" width="14" customWidth="1"/>
  </cols>
  <sheetData>
    <row r="1" spans="1:11" ht="24" customHeight="1">
      <c r="A1" s="100" t="s">
        <v>31</v>
      </c>
      <c r="B1" s="99"/>
      <c r="C1" s="99"/>
      <c r="D1" s="99"/>
      <c r="E1" s="99"/>
      <c r="F1" s="99"/>
      <c r="G1" s="99"/>
      <c r="H1" s="99"/>
      <c r="I1" s="99"/>
      <c r="J1" s="99"/>
      <c r="K1" s="99"/>
    </row>
    <row r="2" spans="1:11" ht="30" customHeight="1">
      <c r="A2" s="76" t="s">
        <v>32</v>
      </c>
      <c r="B2" s="74"/>
      <c r="C2" s="74"/>
      <c r="D2" s="74"/>
      <c r="E2" s="74"/>
      <c r="F2" s="74"/>
      <c r="G2" s="74"/>
      <c r="H2" s="74"/>
      <c r="I2" s="74"/>
      <c r="J2" s="74"/>
      <c r="K2" s="74"/>
    </row>
    <row r="3" spans="1:11" s="36" customFormat="1" ht="30" customHeight="1">
      <c r="A3" s="38" t="s">
        <v>33</v>
      </c>
      <c r="B3" s="38" t="s">
        <v>34</v>
      </c>
      <c r="C3" s="38" t="s">
        <v>35</v>
      </c>
      <c r="D3" s="38" t="s">
        <v>36</v>
      </c>
      <c r="E3" s="38" t="s">
        <v>37</v>
      </c>
      <c r="F3" s="38" t="s">
        <v>38</v>
      </c>
      <c r="G3" s="38" t="s">
        <v>39</v>
      </c>
      <c r="H3" s="38" t="s">
        <v>40</v>
      </c>
      <c r="I3" s="38" t="s">
        <v>41</v>
      </c>
      <c r="J3" s="38" t="s">
        <v>42</v>
      </c>
      <c r="K3" s="38" t="s">
        <v>43</v>
      </c>
    </row>
    <row r="4" spans="1:11">
      <c r="A4" s="2" t="s">
        <v>44</v>
      </c>
      <c r="B4" s="3">
        <v>14718760</v>
      </c>
      <c r="C4" s="3">
        <v>14724010</v>
      </c>
      <c r="D4" s="2" t="s">
        <v>17</v>
      </c>
      <c r="E4" s="2" t="s">
        <v>15</v>
      </c>
      <c r="F4" s="3">
        <v>5250</v>
      </c>
      <c r="G4" s="4">
        <v>1.472033968220793</v>
      </c>
      <c r="H4" s="4">
        <v>3.0286673224620588</v>
      </c>
      <c r="I4" s="3">
        <v>7</v>
      </c>
      <c r="J4" s="3">
        <v>13</v>
      </c>
      <c r="K4" s="4">
        <v>4.5007012906828523</v>
      </c>
    </row>
    <row r="5" spans="1:11">
      <c r="A5" s="2" t="s">
        <v>44</v>
      </c>
      <c r="B5" s="3">
        <v>14840677</v>
      </c>
      <c r="C5" s="3">
        <v>14846134</v>
      </c>
      <c r="D5" s="2" t="s">
        <v>18</v>
      </c>
      <c r="E5" s="2" t="s">
        <v>15</v>
      </c>
      <c r="F5" s="3">
        <v>5457</v>
      </c>
      <c r="G5" s="4">
        <v>3.8862924501601142</v>
      </c>
      <c r="H5" s="4">
        <v>3.504569727483168</v>
      </c>
      <c r="I5" s="3">
        <v>18</v>
      </c>
      <c r="J5" s="3">
        <v>23</v>
      </c>
      <c r="K5" s="4">
        <v>7.3908621776432817</v>
      </c>
    </row>
    <row r="6" spans="1:11">
      <c r="A6" s="2" t="s">
        <v>44</v>
      </c>
      <c r="B6" s="3">
        <v>15171260</v>
      </c>
      <c r="C6" s="3">
        <v>15176448</v>
      </c>
      <c r="D6" s="2" t="s">
        <v>19</v>
      </c>
      <c r="E6" s="2" t="s">
        <v>15</v>
      </c>
      <c r="F6" s="3">
        <v>5188</v>
      </c>
      <c r="G6" s="4">
        <v>3.351349522199651</v>
      </c>
      <c r="H6" s="4">
        <v>2.7934907726953409</v>
      </c>
      <c r="I6" s="3">
        <v>10</v>
      </c>
      <c r="J6" s="3">
        <v>10</v>
      </c>
      <c r="K6" s="4">
        <v>6.1448402948949923</v>
      </c>
    </row>
    <row r="7" spans="1:11">
      <c r="A7" s="2" t="s">
        <v>44</v>
      </c>
      <c r="B7" s="3">
        <v>15221300</v>
      </c>
      <c r="C7" s="3">
        <v>15226920</v>
      </c>
      <c r="D7" s="2" t="s">
        <v>16</v>
      </c>
      <c r="E7" s="2" t="s">
        <v>15</v>
      </c>
      <c r="F7" s="3">
        <v>5620</v>
      </c>
      <c r="G7" s="4">
        <v>7.5232642251706876</v>
      </c>
      <c r="H7" s="4">
        <v>5.646770848165958</v>
      </c>
      <c r="I7" s="3">
        <v>65</v>
      </c>
      <c r="J7" s="3">
        <v>41</v>
      </c>
      <c r="K7" s="4">
        <v>13.170035073336649</v>
      </c>
    </row>
    <row r="8" spans="1:11">
      <c r="A8" s="2" t="s">
        <v>44</v>
      </c>
      <c r="B8" s="3">
        <v>15433884</v>
      </c>
      <c r="C8" s="3">
        <v>15439151</v>
      </c>
      <c r="D8" s="2" t="s">
        <v>20</v>
      </c>
      <c r="E8" s="2" t="s">
        <v>15</v>
      </c>
      <c r="F8" s="3">
        <v>5267</v>
      </c>
      <c r="G8" s="4">
        <v>8.7336802034709282E-2</v>
      </c>
      <c r="H8" s="4">
        <v>0.15020758742432369</v>
      </c>
      <c r="I8" s="3">
        <v>5</v>
      </c>
      <c r="J8" s="3">
        <v>13</v>
      </c>
      <c r="K8" s="4">
        <v>0.237544389459033</v>
      </c>
    </row>
    <row r="9" spans="1:11">
      <c r="A9" s="2" t="s">
        <v>44</v>
      </c>
      <c r="B9" s="3">
        <v>15434539</v>
      </c>
      <c r="C9" s="3">
        <v>15436055</v>
      </c>
      <c r="D9" s="2" t="s">
        <v>21</v>
      </c>
      <c r="E9" s="2" t="s">
        <v>15</v>
      </c>
      <c r="F9" s="3">
        <v>1516</v>
      </c>
      <c r="G9" s="4">
        <v>0</v>
      </c>
      <c r="H9" s="4">
        <v>0</v>
      </c>
      <c r="I9" s="3">
        <v>0</v>
      </c>
      <c r="J9" s="3">
        <v>0</v>
      </c>
      <c r="K9" s="4">
        <v>0</v>
      </c>
    </row>
    <row r="10" spans="1:11">
      <c r="A10" s="2" t="s">
        <v>44</v>
      </c>
      <c r="B10" s="3">
        <v>15446547</v>
      </c>
      <c r="C10" s="3">
        <v>15451946</v>
      </c>
      <c r="D10" s="2" t="s">
        <v>14</v>
      </c>
      <c r="E10" s="2" t="s">
        <v>15</v>
      </c>
      <c r="F10" s="3">
        <v>5399</v>
      </c>
      <c r="G10" s="4">
        <v>10.16173946102295</v>
      </c>
      <c r="H10" s="4">
        <v>8.6234763360939741</v>
      </c>
      <c r="I10" s="3">
        <v>211</v>
      </c>
      <c r="J10" s="3">
        <v>301</v>
      </c>
      <c r="K10" s="4">
        <v>18.785215797116919</v>
      </c>
    </row>
    <row r="11" spans="1:11">
      <c r="A11" s="2" t="s">
        <v>44</v>
      </c>
      <c r="B11" s="3">
        <v>15549343</v>
      </c>
      <c r="C11" s="3">
        <v>15550462</v>
      </c>
      <c r="D11" s="2" t="s">
        <v>7</v>
      </c>
      <c r="E11" s="2" t="s">
        <v>8</v>
      </c>
      <c r="F11" s="3">
        <v>1119</v>
      </c>
      <c r="G11" s="4">
        <v>43.063762142126791</v>
      </c>
      <c r="H11" s="4">
        <v>67.056756320227294</v>
      </c>
      <c r="I11" s="3">
        <v>75</v>
      </c>
      <c r="J11" s="3">
        <v>107</v>
      </c>
      <c r="K11" s="4">
        <v>110.1205184623541</v>
      </c>
    </row>
    <row r="12" spans="1:11">
      <c r="A12" s="2" t="s">
        <v>44</v>
      </c>
      <c r="B12" s="3">
        <v>15561789</v>
      </c>
      <c r="C12" s="3">
        <v>15567045</v>
      </c>
      <c r="D12" s="2" t="s">
        <v>11</v>
      </c>
      <c r="E12" s="2" t="s">
        <v>8</v>
      </c>
      <c r="F12" s="3">
        <v>5256</v>
      </c>
      <c r="G12" s="4">
        <v>6.2442229819580879</v>
      </c>
      <c r="H12" s="4">
        <v>6.0708533137275102</v>
      </c>
      <c r="I12" s="3">
        <v>16</v>
      </c>
      <c r="J12" s="3">
        <v>16</v>
      </c>
      <c r="K12" s="4">
        <v>12.3150762956856</v>
      </c>
    </row>
    <row r="13" spans="1:11">
      <c r="A13" s="2" t="s">
        <v>44</v>
      </c>
      <c r="B13" s="3">
        <v>15610488</v>
      </c>
      <c r="C13" s="3">
        <v>15611188</v>
      </c>
      <c r="D13" s="2" t="s">
        <v>10</v>
      </c>
      <c r="E13" s="2" t="s">
        <v>8</v>
      </c>
      <c r="F13" s="3">
        <v>700</v>
      </c>
      <c r="G13" s="4">
        <v>7.8586987291798964</v>
      </c>
      <c r="H13" s="4">
        <v>2.7628571428571429</v>
      </c>
      <c r="I13" s="3">
        <v>16</v>
      </c>
      <c r="J13" s="3">
        <v>8</v>
      </c>
      <c r="K13" s="4">
        <v>10.621555872037041</v>
      </c>
    </row>
    <row r="14" spans="1:11">
      <c r="A14" s="2" t="s">
        <v>44</v>
      </c>
      <c r="B14" s="3">
        <v>15620962</v>
      </c>
      <c r="C14" s="3">
        <v>15621575</v>
      </c>
      <c r="D14" s="2" t="s">
        <v>9</v>
      </c>
      <c r="E14" s="2" t="s">
        <v>8</v>
      </c>
      <c r="F14" s="3">
        <v>613</v>
      </c>
      <c r="G14" s="4">
        <v>8.4045676998368677</v>
      </c>
      <c r="H14" s="4">
        <v>7.8172920065252853</v>
      </c>
      <c r="I14" s="3">
        <v>12</v>
      </c>
      <c r="J14" s="3">
        <v>16</v>
      </c>
      <c r="K14" s="4">
        <v>16.221859706362149</v>
      </c>
    </row>
    <row r="15" spans="1:11">
      <c r="A15" s="2" t="s">
        <v>44</v>
      </c>
      <c r="B15" s="3">
        <v>15658220</v>
      </c>
      <c r="C15" s="3">
        <v>15658910</v>
      </c>
      <c r="D15" s="2" t="s">
        <v>12</v>
      </c>
      <c r="E15" s="2" t="s">
        <v>8</v>
      </c>
      <c r="F15" s="3">
        <v>690</v>
      </c>
      <c r="G15" s="4">
        <v>8.2627358194267035</v>
      </c>
      <c r="H15" s="4">
        <v>10.805797101449279</v>
      </c>
      <c r="I15" s="3">
        <v>18</v>
      </c>
      <c r="J15" s="3">
        <v>17</v>
      </c>
      <c r="K15" s="4">
        <v>19.068532920875981</v>
      </c>
    </row>
    <row r="16" spans="1:11">
      <c r="A16" s="2" t="s">
        <v>44</v>
      </c>
      <c r="B16" s="3">
        <v>15706515</v>
      </c>
      <c r="C16" s="3">
        <v>15706940</v>
      </c>
      <c r="D16" s="2" t="s">
        <v>13</v>
      </c>
      <c r="E16" s="2" t="s">
        <v>8</v>
      </c>
      <c r="F16" s="3">
        <v>425</v>
      </c>
      <c r="G16" s="4">
        <v>5.6423529411764708</v>
      </c>
      <c r="H16" s="4">
        <v>6.92</v>
      </c>
      <c r="I16" s="3">
        <v>8</v>
      </c>
      <c r="J16" s="3">
        <v>13</v>
      </c>
      <c r="K16" s="4">
        <v>12.562352941176471</v>
      </c>
    </row>
    <row r="17" spans="1:11" hidden="1"/>
    <row r="18" spans="1:11" ht="84.6" customHeight="1">
      <c r="A18" s="77" t="s">
        <v>45</v>
      </c>
      <c r="B18" s="74"/>
      <c r="C18" s="74"/>
      <c r="D18" s="74"/>
      <c r="E18" s="74"/>
      <c r="F18" s="74"/>
      <c r="G18" s="74"/>
      <c r="H18" s="74"/>
      <c r="I18" s="74"/>
      <c r="J18" s="74"/>
      <c r="K18" s="74"/>
    </row>
    <row r="19" spans="1:11" hidden="1">
      <c r="A19" s="74"/>
      <c r="B19" s="74"/>
      <c r="C19" s="74"/>
      <c r="D19" s="74"/>
      <c r="E19" s="74"/>
      <c r="F19" s="74"/>
      <c r="G19" s="74"/>
      <c r="H19" s="74"/>
      <c r="I19" s="74"/>
      <c r="J19" s="74"/>
      <c r="K19" s="74"/>
    </row>
    <row r="20" spans="1:11" hidden="1">
      <c r="A20" s="74"/>
      <c r="B20" s="74"/>
      <c r="C20" s="74"/>
      <c r="D20" s="74"/>
      <c r="E20" s="74"/>
      <c r="F20" s="74"/>
      <c r="G20" s="74"/>
      <c r="H20" s="74"/>
      <c r="I20" s="74"/>
      <c r="J20" s="74"/>
      <c r="K20" s="74"/>
    </row>
    <row r="21" spans="1:11" hidden="1">
      <c r="A21" s="74"/>
      <c r="B21" s="74"/>
      <c r="C21" s="74"/>
      <c r="D21" s="74"/>
      <c r="E21" s="74"/>
      <c r="F21" s="74"/>
      <c r="G21" s="74"/>
      <c r="H21" s="74"/>
      <c r="I21" s="74"/>
      <c r="J21" s="74"/>
      <c r="K21" s="74"/>
    </row>
    <row r="22" spans="1:11" hidden="1">
      <c r="A22" s="74"/>
      <c r="B22" s="74"/>
      <c r="C22" s="74"/>
      <c r="D22" s="74"/>
      <c r="E22" s="74"/>
      <c r="F22" s="74"/>
      <c r="G22" s="74"/>
      <c r="H22" s="74"/>
      <c r="I22" s="74"/>
      <c r="J22" s="74"/>
      <c r="K22" s="74"/>
    </row>
  </sheetData>
  <mergeCells count="3">
    <mergeCell ref="A2:K2"/>
    <mergeCell ref="A1:K1"/>
    <mergeCell ref="A18:K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4"/>
  <sheetViews>
    <sheetView workbookViewId="0">
      <pane ySplit="4" topLeftCell="A5" activePane="bottomLeft" state="frozen"/>
      <selection pane="bottomLeft" activeCell="F30" sqref="F30"/>
    </sheetView>
  </sheetViews>
  <sheetFormatPr defaultRowHeight="14.4"/>
  <cols>
    <col min="1" max="1" width="26" customWidth="1"/>
    <col min="2" max="2" width="11" customWidth="1"/>
    <col min="3" max="3" width="15.5546875" customWidth="1"/>
    <col min="4" max="5" width="12" customWidth="1"/>
    <col min="6" max="6" width="11" customWidth="1"/>
    <col min="7" max="7" width="14" customWidth="1"/>
    <col min="8" max="8" width="75.77734375" customWidth="1"/>
  </cols>
  <sheetData>
    <row r="2" spans="1:8" ht="21" customHeight="1">
      <c r="A2" s="101" t="s">
        <v>46</v>
      </c>
      <c r="B2" s="99"/>
      <c r="C2" s="99"/>
      <c r="D2" s="99"/>
      <c r="E2" s="99"/>
      <c r="F2" s="99"/>
      <c r="G2" s="99"/>
      <c r="H2" s="99"/>
    </row>
    <row r="3" spans="1:8" s="103" customFormat="1" ht="13.2" customHeight="1">
      <c r="A3" s="102"/>
    </row>
    <row r="4" spans="1:8" s="37" customFormat="1">
      <c r="A4" s="39" t="s">
        <v>47</v>
      </c>
      <c r="B4" s="39" t="s">
        <v>48</v>
      </c>
      <c r="C4" s="39" t="s">
        <v>49</v>
      </c>
      <c r="D4" s="39" t="s">
        <v>50</v>
      </c>
      <c r="E4" s="39" t="s">
        <v>51</v>
      </c>
      <c r="F4" s="39" t="s">
        <v>52</v>
      </c>
      <c r="G4" s="39" t="s">
        <v>53</v>
      </c>
      <c r="H4" s="39" t="s">
        <v>54</v>
      </c>
    </row>
    <row r="5" spans="1:8">
      <c r="A5" s="5" t="s">
        <v>17</v>
      </c>
      <c r="B5" s="5" t="s">
        <v>15</v>
      </c>
      <c r="C5" s="5" t="s">
        <v>44</v>
      </c>
      <c r="D5" s="6">
        <v>14718760</v>
      </c>
      <c r="E5" s="6">
        <v>14724010</v>
      </c>
      <c r="F5" s="6">
        <v>5250</v>
      </c>
      <c r="G5" s="7">
        <v>14.721385</v>
      </c>
      <c r="H5" s="7">
        <v>-5.2343582157448002E-3</v>
      </c>
    </row>
    <row r="6" spans="1:8">
      <c r="A6" s="5" t="s">
        <v>18</v>
      </c>
      <c r="B6" s="5" t="s">
        <v>15</v>
      </c>
      <c r="C6" s="5" t="s">
        <v>44</v>
      </c>
      <c r="D6" s="6">
        <v>14840677</v>
      </c>
      <c r="E6" s="6">
        <v>14846134</v>
      </c>
      <c r="F6" s="6">
        <v>5457</v>
      </c>
      <c r="G6" s="7">
        <v>14.843405499999999</v>
      </c>
      <c r="H6" s="7">
        <v>-1.34094156167106E-2</v>
      </c>
    </row>
    <row r="7" spans="1:8">
      <c r="A7" s="5" t="s">
        <v>19</v>
      </c>
      <c r="B7" s="5" t="s">
        <v>15</v>
      </c>
      <c r="C7" s="5" t="s">
        <v>44</v>
      </c>
      <c r="D7" s="6">
        <v>15171260</v>
      </c>
      <c r="E7" s="6">
        <v>15176448</v>
      </c>
      <c r="F7" s="6">
        <v>5188</v>
      </c>
      <c r="G7" s="7">
        <v>15.173854</v>
      </c>
      <c r="H7" s="7">
        <v>-2.6628050778812998E-3</v>
      </c>
    </row>
    <row r="8" spans="1:8">
      <c r="A8" s="5" t="s">
        <v>16</v>
      </c>
      <c r="B8" s="5" t="s">
        <v>15</v>
      </c>
      <c r="C8" s="5" t="s">
        <v>44</v>
      </c>
      <c r="D8" s="6">
        <v>15221300</v>
      </c>
      <c r="E8" s="6">
        <v>15226920</v>
      </c>
      <c r="F8" s="6">
        <v>5620</v>
      </c>
      <c r="G8" s="7">
        <v>15.22411</v>
      </c>
      <c r="H8" s="7">
        <v>-1.8636618945766601E-2</v>
      </c>
    </row>
    <row r="9" spans="1:8">
      <c r="A9" s="5" t="s">
        <v>20</v>
      </c>
      <c r="B9" s="5" t="s">
        <v>15</v>
      </c>
      <c r="C9" s="5" t="s">
        <v>44</v>
      </c>
      <c r="D9" s="6">
        <v>15433884</v>
      </c>
      <c r="E9" s="6">
        <v>15439151</v>
      </c>
      <c r="F9" s="6">
        <v>5267</v>
      </c>
      <c r="G9" s="7">
        <v>15.436517500000001</v>
      </c>
      <c r="H9" s="7">
        <v>-7.1370286939883001E-3</v>
      </c>
    </row>
    <row r="10" spans="1:8">
      <c r="A10" s="5" t="s">
        <v>21</v>
      </c>
      <c r="B10" s="5" t="s">
        <v>15</v>
      </c>
      <c r="C10" s="5" t="s">
        <v>44</v>
      </c>
      <c r="D10" s="6">
        <v>15434539</v>
      </c>
      <c r="E10" s="6">
        <v>15436055</v>
      </c>
      <c r="F10" s="6">
        <v>1516</v>
      </c>
      <c r="G10" s="7">
        <v>15.435297</v>
      </c>
      <c r="H10" s="7">
        <v>-1.5085889487455401E-2</v>
      </c>
    </row>
    <row r="11" spans="1:8">
      <c r="A11" s="5" t="s">
        <v>14</v>
      </c>
      <c r="B11" s="5" t="s">
        <v>15</v>
      </c>
      <c r="C11" s="5" t="s">
        <v>44</v>
      </c>
      <c r="D11" s="6">
        <v>15446547</v>
      </c>
      <c r="E11" s="6">
        <v>15451946</v>
      </c>
      <c r="F11" s="6">
        <v>5399</v>
      </c>
      <c r="G11" s="7">
        <v>15.449246499999999</v>
      </c>
      <c r="H11" s="7">
        <v>-5.3856027883584998E-3</v>
      </c>
    </row>
    <row r="12" spans="1:8" ht="28.8">
      <c r="A12" s="5" t="s">
        <v>7</v>
      </c>
      <c r="B12" s="5" t="s">
        <v>8</v>
      </c>
      <c r="C12" s="5" t="s">
        <v>44</v>
      </c>
      <c r="D12" s="6">
        <v>15549343</v>
      </c>
      <c r="E12" s="6">
        <v>15550462</v>
      </c>
      <c r="F12" s="6">
        <v>1119</v>
      </c>
      <c r="G12" s="7">
        <v>15.5499025</v>
      </c>
      <c r="H12" s="7">
        <v>9.4545950909473306E-2</v>
      </c>
    </row>
    <row r="13" spans="1:8">
      <c r="A13" s="5" t="s">
        <v>11</v>
      </c>
      <c r="B13" s="5" t="s">
        <v>8</v>
      </c>
      <c r="C13" s="5" t="s">
        <v>44</v>
      </c>
      <c r="D13" s="6">
        <v>15561789</v>
      </c>
      <c r="E13" s="6">
        <v>15567045</v>
      </c>
      <c r="F13" s="6">
        <v>5256</v>
      </c>
      <c r="G13" s="7">
        <v>15.564417000000001</v>
      </c>
      <c r="H13" s="7">
        <v>2.4130362313706001E-3</v>
      </c>
    </row>
    <row r="14" spans="1:8">
      <c r="A14" s="5" t="s">
        <v>10</v>
      </c>
      <c r="B14" s="5" t="s">
        <v>8</v>
      </c>
      <c r="C14" s="5" t="s">
        <v>44</v>
      </c>
      <c r="D14" s="6">
        <v>15610488</v>
      </c>
      <c r="E14" s="6">
        <v>15611188</v>
      </c>
      <c r="F14" s="6">
        <v>700</v>
      </c>
      <c r="G14" s="7">
        <v>15.610837999999999</v>
      </c>
      <c r="H14" s="7">
        <v>2.8168899112705301E-2</v>
      </c>
    </row>
    <row r="15" spans="1:8">
      <c r="A15" s="5" t="s">
        <v>9</v>
      </c>
      <c r="B15" s="5" t="s">
        <v>8</v>
      </c>
      <c r="C15" s="5" t="s">
        <v>44</v>
      </c>
      <c r="D15" s="6">
        <v>15620962</v>
      </c>
      <c r="E15" s="6">
        <v>15621575</v>
      </c>
      <c r="F15" s="6">
        <v>613</v>
      </c>
      <c r="G15" s="7">
        <v>15.621268499999999</v>
      </c>
      <c r="H15" s="7">
        <v>0.27747222086563578</v>
      </c>
    </row>
    <row r="16" spans="1:8">
      <c r="A16" s="5" t="s">
        <v>12</v>
      </c>
      <c r="B16" s="5" t="s">
        <v>8</v>
      </c>
      <c r="C16" s="5" t="s">
        <v>44</v>
      </c>
      <c r="D16" s="6">
        <v>15658220</v>
      </c>
      <c r="E16" s="6">
        <v>15658910</v>
      </c>
      <c r="F16" s="6">
        <v>690</v>
      </c>
      <c r="G16" s="7">
        <v>15.658564999999999</v>
      </c>
      <c r="H16" s="7">
        <v>2.5396948668682199E-2</v>
      </c>
    </row>
    <row r="17" spans="1:8">
      <c r="A17" s="8" t="s">
        <v>13</v>
      </c>
      <c r="B17" s="8" t="s">
        <v>8</v>
      </c>
      <c r="C17" s="8" t="s">
        <v>44</v>
      </c>
      <c r="D17" s="9">
        <v>15706515</v>
      </c>
      <c r="E17" s="9">
        <v>15706940</v>
      </c>
      <c r="F17" s="9">
        <v>425</v>
      </c>
      <c r="G17" s="10">
        <v>15.7067275</v>
      </c>
      <c r="H17" s="10">
        <v>-6.5993234953459004E-3</v>
      </c>
    </row>
    <row r="18" spans="1:8" ht="0.6" customHeight="1"/>
    <row r="19" spans="1:8" ht="15.6" customHeight="1">
      <c r="A19" s="79" t="s">
        <v>55</v>
      </c>
      <c r="B19" s="74"/>
      <c r="C19" s="74"/>
      <c r="D19" s="74"/>
      <c r="E19" s="74"/>
      <c r="F19" s="74"/>
      <c r="G19" s="74"/>
      <c r="H19" s="74"/>
    </row>
    <row r="20" spans="1:8">
      <c r="A20" s="78" t="s">
        <v>56</v>
      </c>
      <c r="B20" s="74"/>
      <c r="C20" s="74"/>
      <c r="D20" s="74"/>
      <c r="E20" s="74"/>
      <c r="F20" s="74"/>
      <c r="G20" s="74"/>
      <c r="H20" s="74"/>
    </row>
    <row r="21" spans="1:8">
      <c r="A21" s="80" t="s">
        <v>57</v>
      </c>
      <c r="B21" s="74"/>
      <c r="C21" s="74"/>
      <c r="D21" s="74"/>
      <c r="E21" s="74"/>
      <c r="F21" s="74"/>
      <c r="G21" s="74"/>
      <c r="H21" s="74"/>
    </row>
    <row r="22" spans="1:8">
      <c r="A22" s="78" t="s">
        <v>58</v>
      </c>
      <c r="B22" s="74"/>
      <c r="C22" s="74"/>
      <c r="D22" s="74"/>
      <c r="E22" s="74"/>
      <c r="F22" s="74"/>
      <c r="G22" s="74"/>
      <c r="H22" s="74"/>
    </row>
    <row r="23" spans="1:8">
      <c r="A23" s="78" t="s">
        <v>59</v>
      </c>
      <c r="B23" s="74"/>
      <c r="C23" s="74"/>
      <c r="D23" s="74"/>
      <c r="E23" s="74"/>
      <c r="F23" s="74"/>
      <c r="G23" s="74"/>
      <c r="H23" s="74"/>
    </row>
    <row r="24" spans="1:8">
      <c r="A24" s="78" t="s">
        <v>60</v>
      </c>
      <c r="B24" s="74"/>
      <c r="C24" s="74"/>
      <c r="D24" s="74"/>
      <c r="E24" s="74"/>
      <c r="F24" s="74"/>
      <c r="G24" s="74"/>
      <c r="H24" s="74"/>
    </row>
  </sheetData>
  <mergeCells count="7">
    <mergeCell ref="A2:H2"/>
    <mergeCell ref="A20:H20"/>
    <mergeCell ref="A24:H24"/>
    <mergeCell ref="A23:H23"/>
    <mergeCell ref="A19:H19"/>
    <mergeCell ref="A22:H22"/>
    <mergeCell ref="A21:H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5"/>
  <sheetViews>
    <sheetView workbookViewId="0">
      <pane ySplit="10" topLeftCell="A11" activePane="bottomLeft" state="frozen"/>
      <selection pane="bottomLeft" activeCell="K22" sqref="K22"/>
    </sheetView>
  </sheetViews>
  <sheetFormatPr defaultRowHeight="14.4"/>
  <cols>
    <col min="1" max="1" width="12.88671875" customWidth="1"/>
    <col min="2" max="3" width="15" customWidth="1"/>
    <col min="4" max="5" width="16" customWidth="1"/>
    <col min="6" max="6" width="20" customWidth="1"/>
    <col min="7" max="7" width="22" customWidth="1"/>
    <col min="8" max="8" width="28" customWidth="1"/>
  </cols>
  <sheetData>
    <row r="1" spans="1:8" ht="31.95" customHeight="1">
      <c r="A1" s="104" t="s">
        <v>61</v>
      </c>
      <c r="B1" s="99"/>
      <c r="C1" s="99"/>
      <c r="D1" s="99"/>
      <c r="E1" s="99"/>
      <c r="F1" s="99"/>
      <c r="G1" s="99"/>
      <c r="H1" s="99"/>
    </row>
    <row r="2" spans="1:8" ht="18" customHeight="1">
      <c r="A2" s="83" t="s">
        <v>62</v>
      </c>
      <c r="B2" s="74"/>
      <c r="C2" s="74"/>
      <c r="D2" s="74"/>
      <c r="E2" s="74"/>
      <c r="F2" s="74"/>
      <c r="G2" s="74"/>
      <c r="H2" s="74"/>
    </row>
    <row r="3" spans="1:8">
      <c r="A3" s="83" t="s">
        <v>63</v>
      </c>
      <c r="B3" s="74"/>
      <c r="C3" s="84" t="s">
        <v>64</v>
      </c>
      <c r="D3" s="74"/>
      <c r="E3" s="74"/>
      <c r="F3" s="74"/>
      <c r="G3" s="74"/>
      <c r="H3" s="74"/>
    </row>
    <row r="4" spans="1:8">
      <c r="A4" s="83" t="s">
        <v>65</v>
      </c>
      <c r="B4" s="74"/>
      <c r="C4" s="84" t="s">
        <v>66</v>
      </c>
      <c r="D4" s="74"/>
      <c r="E4" s="74"/>
      <c r="F4" s="74"/>
      <c r="G4" s="74"/>
      <c r="H4" s="74"/>
    </row>
    <row r="5" spans="1:8">
      <c r="A5" s="83" t="s">
        <v>67</v>
      </c>
      <c r="B5" s="74"/>
      <c r="C5" s="84" t="s">
        <v>68</v>
      </c>
      <c r="D5" s="74"/>
      <c r="E5" s="74"/>
      <c r="F5" s="74"/>
      <c r="G5" s="74"/>
      <c r="H5" s="74"/>
    </row>
    <row r="6" spans="1:8">
      <c r="A6" s="83" t="s">
        <v>69</v>
      </c>
      <c r="B6" s="74"/>
      <c r="C6" s="84" t="s">
        <v>70</v>
      </c>
      <c r="D6" s="74"/>
      <c r="E6" s="74"/>
      <c r="F6" s="74"/>
      <c r="G6" s="74"/>
      <c r="H6" s="74"/>
    </row>
    <row r="7" spans="1:8">
      <c r="A7" s="83" t="s">
        <v>71</v>
      </c>
      <c r="B7" s="74"/>
      <c r="C7" s="84" t="s">
        <v>72</v>
      </c>
      <c r="D7" s="74"/>
      <c r="E7" s="74"/>
      <c r="F7" s="74"/>
      <c r="G7" s="74"/>
      <c r="H7" s="74"/>
    </row>
    <row r="8" spans="1:8">
      <c r="A8" s="83" t="s">
        <v>73</v>
      </c>
      <c r="B8" s="74"/>
      <c r="C8" s="84" t="s">
        <v>74</v>
      </c>
      <c r="D8" s="74"/>
      <c r="E8" s="74"/>
      <c r="F8" s="74"/>
      <c r="G8" s="74"/>
      <c r="H8" s="74"/>
    </row>
    <row r="10" spans="1:8" s="56" customFormat="1" ht="28.8" customHeight="1">
      <c r="A10" s="41" t="s">
        <v>75</v>
      </c>
      <c r="B10" s="41" t="s">
        <v>76</v>
      </c>
      <c r="C10" s="41" t="s">
        <v>77</v>
      </c>
      <c r="D10" s="41" t="s">
        <v>78</v>
      </c>
      <c r="E10" s="41" t="s">
        <v>79</v>
      </c>
      <c r="F10" s="41" t="s">
        <v>80</v>
      </c>
      <c r="G10" s="41" t="s">
        <v>81</v>
      </c>
      <c r="H10" s="41" t="s">
        <v>82</v>
      </c>
    </row>
    <row r="11" spans="1:8" s="48" customFormat="1">
      <c r="A11" s="42" t="s">
        <v>44</v>
      </c>
      <c r="B11" s="43">
        <v>14730000</v>
      </c>
      <c r="C11" s="43">
        <v>14740000</v>
      </c>
      <c r="D11" s="43">
        <v>14735000</v>
      </c>
      <c r="E11" s="44">
        <v>14.734999999999999</v>
      </c>
      <c r="F11" s="45">
        <v>0</v>
      </c>
      <c r="G11" s="46">
        <v>-820</v>
      </c>
      <c r="H11" s="47"/>
    </row>
    <row r="12" spans="1:8" s="48" customFormat="1">
      <c r="A12" s="42" t="s">
        <v>44</v>
      </c>
      <c r="B12" s="43">
        <v>14740000</v>
      </c>
      <c r="C12" s="43">
        <v>14750000</v>
      </c>
      <c r="D12" s="43">
        <v>14745000</v>
      </c>
      <c r="E12" s="44">
        <v>14.744999999999999</v>
      </c>
      <c r="F12" s="45">
        <v>2.0070082999999999</v>
      </c>
      <c r="G12" s="46">
        <v>-810</v>
      </c>
      <c r="H12" s="47"/>
    </row>
    <row r="13" spans="1:8" s="48" customFormat="1">
      <c r="A13" s="42" t="s">
        <v>44</v>
      </c>
      <c r="B13" s="43">
        <v>14750000</v>
      </c>
      <c r="C13" s="43">
        <v>14760000</v>
      </c>
      <c r="D13" s="43">
        <v>14755000</v>
      </c>
      <c r="E13" s="44">
        <v>14.755000000000001</v>
      </c>
      <c r="F13" s="45">
        <v>3.6866064000000001</v>
      </c>
      <c r="G13" s="46">
        <v>-800</v>
      </c>
      <c r="H13" s="47"/>
    </row>
    <row r="14" spans="1:8" s="48" customFormat="1">
      <c r="A14" s="42" t="s">
        <v>44</v>
      </c>
      <c r="B14" s="43">
        <v>14760000</v>
      </c>
      <c r="C14" s="43">
        <v>14770000</v>
      </c>
      <c r="D14" s="43">
        <v>14765000</v>
      </c>
      <c r="E14" s="44">
        <v>14.765000000000001</v>
      </c>
      <c r="F14" s="45">
        <v>5.1258980000000003</v>
      </c>
      <c r="G14" s="46">
        <v>-790</v>
      </c>
      <c r="H14" s="47"/>
    </row>
    <row r="15" spans="1:8" s="48" customFormat="1">
      <c r="A15" s="42" t="s">
        <v>44</v>
      </c>
      <c r="B15" s="43">
        <v>14770000</v>
      </c>
      <c r="C15" s="43">
        <v>14780000</v>
      </c>
      <c r="D15" s="43">
        <v>14775000</v>
      </c>
      <c r="E15" s="44">
        <v>14.775</v>
      </c>
      <c r="F15" s="45">
        <v>5.805237</v>
      </c>
      <c r="G15" s="46">
        <v>-780</v>
      </c>
      <c r="H15" s="47"/>
    </row>
    <row r="16" spans="1:8" s="48" customFormat="1">
      <c r="A16" s="42" t="s">
        <v>44</v>
      </c>
      <c r="B16" s="43">
        <v>14780000</v>
      </c>
      <c r="C16" s="43">
        <v>14790000</v>
      </c>
      <c r="D16" s="43">
        <v>14785000</v>
      </c>
      <c r="E16" s="44">
        <v>14.785</v>
      </c>
      <c r="F16" s="45">
        <v>1.7108359</v>
      </c>
      <c r="G16" s="46">
        <v>-770</v>
      </c>
      <c r="H16" s="47"/>
    </row>
    <row r="17" spans="1:8" s="48" customFormat="1">
      <c r="A17" s="42" t="s">
        <v>44</v>
      </c>
      <c r="B17" s="43">
        <v>14790000</v>
      </c>
      <c r="C17" s="43">
        <v>14800000</v>
      </c>
      <c r="D17" s="43">
        <v>14795000</v>
      </c>
      <c r="E17" s="44">
        <v>14.795</v>
      </c>
      <c r="F17" s="45">
        <v>3.3983971999999998</v>
      </c>
      <c r="G17" s="46">
        <v>-760</v>
      </c>
      <c r="H17" s="47"/>
    </row>
    <row r="18" spans="1:8" s="48" customFormat="1">
      <c r="A18" s="42" t="s">
        <v>44</v>
      </c>
      <c r="B18" s="43">
        <v>14800000</v>
      </c>
      <c r="C18" s="43">
        <v>14810000</v>
      </c>
      <c r="D18" s="43">
        <v>14805000</v>
      </c>
      <c r="E18" s="44">
        <v>14.805</v>
      </c>
      <c r="F18" s="45">
        <v>1.9026898999999999</v>
      </c>
      <c r="G18" s="46">
        <v>-750</v>
      </c>
      <c r="H18" s="47"/>
    </row>
    <row r="19" spans="1:8" s="48" customFormat="1">
      <c r="A19" s="42" t="s">
        <v>44</v>
      </c>
      <c r="B19" s="43">
        <v>14810000</v>
      </c>
      <c r="C19" s="43">
        <v>14820000</v>
      </c>
      <c r="D19" s="43">
        <v>14815000</v>
      </c>
      <c r="E19" s="44">
        <v>14.815</v>
      </c>
      <c r="F19" s="45">
        <v>0.90405089999999999</v>
      </c>
      <c r="G19" s="46">
        <v>-740</v>
      </c>
      <c r="H19" s="47" t="s">
        <v>17</v>
      </c>
    </row>
    <row r="20" spans="1:8" s="48" customFormat="1">
      <c r="A20" s="42" t="s">
        <v>44</v>
      </c>
      <c r="B20" s="43">
        <v>14820000</v>
      </c>
      <c r="C20" s="43">
        <v>14830000</v>
      </c>
      <c r="D20" s="43">
        <v>14825000</v>
      </c>
      <c r="E20" s="44">
        <v>14.824999999999999</v>
      </c>
      <c r="F20" s="45">
        <v>1.5585152</v>
      </c>
      <c r="G20" s="46">
        <v>-730</v>
      </c>
      <c r="H20" s="47"/>
    </row>
    <row r="21" spans="1:8" s="48" customFormat="1">
      <c r="A21" s="42" t="s">
        <v>44</v>
      </c>
      <c r="B21" s="43">
        <v>14830000</v>
      </c>
      <c r="C21" s="43">
        <v>14840000</v>
      </c>
      <c r="D21" s="43">
        <v>14835000</v>
      </c>
      <c r="E21" s="44">
        <v>14.835000000000001</v>
      </c>
      <c r="F21" s="45">
        <v>2.8345473000000001</v>
      </c>
      <c r="G21" s="46">
        <v>-720</v>
      </c>
      <c r="H21" s="47"/>
    </row>
    <row r="22" spans="1:8" s="48" customFormat="1">
      <c r="A22" s="42" t="s">
        <v>44</v>
      </c>
      <c r="B22" s="43">
        <v>14840000</v>
      </c>
      <c r="C22" s="43">
        <v>14850000</v>
      </c>
      <c r="D22" s="43">
        <v>14845000</v>
      </c>
      <c r="E22" s="44">
        <v>14.845000000000001</v>
      </c>
      <c r="F22" s="45">
        <v>2.3767564000000001</v>
      </c>
      <c r="G22" s="46">
        <v>-710</v>
      </c>
      <c r="H22" s="47"/>
    </row>
    <row r="23" spans="1:8" s="48" customFormat="1">
      <c r="A23" s="42" t="s">
        <v>44</v>
      </c>
      <c r="B23" s="43">
        <v>14850000</v>
      </c>
      <c r="C23" s="43">
        <v>14860000</v>
      </c>
      <c r="D23" s="43">
        <v>14855000</v>
      </c>
      <c r="E23" s="44">
        <v>14.855</v>
      </c>
      <c r="F23" s="45">
        <v>2.3143744000000002</v>
      </c>
      <c r="G23" s="46">
        <v>-700</v>
      </c>
      <c r="H23" s="47"/>
    </row>
    <row r="24" spans="1:8" s="48" customFormat="1">
      <c r="A24" s="42" t="s">
        <v>44</v>
      </c>
      <c r="B24" s="43">
        <v>14860000</v>
      </c>
      <c r="C24" s="43">
        <v>14870000</v>
      </c>
      <c r="D24" s="43">
        <v>14865000</v>
      </c>
      <c r="E24" s="44">
        <v>14.865</v>
      </c>
      <c r="F24" s="45">
        <v>2.3485879999999999</v>
      </c>
      <c r="G24" s="46">
        <v>-690</v>
      </c>
      <c r="H24" s="47"/>
    </row>
    <row r="25" spans="1:8" s="48" customFormat="1">
      <c r="A25" s="42" t="s">
        <v>44</v>
      </c>
      <c r="B25" s="43">
        <v>14870000</v>
      </c>
      <c r="C25" s="43">
        <v>14880000</v>
      </c>
      <c r="D25" s="43">
        <v>14875000</v>
      </c>
      <c r="E25" s="44">
        <v>14.875</v>
      </c>
      <c r="F25" s="45">
        <v>4.8853334999999998</v>
      </c>
      <c r="G25" s="46">
        <v>-680</v>
      </c>
      <c r="H25" s="47"/>
    </row>
    <row r="26" spans="1:8" s="48" customFormat="1">
      <c r="A26" s="42" t="s">
        <v>44</v>
      </c>
      <c r="B26" s="43">
        <v>14880000</v>
      </c>
      <c r="C26" s="43">
        <v>14890000</v>
      </c>
      <c r="D26" s="43">
        <v>14885000</v>
      </c>
      <c r="E26" s="44">
        <v>14.885</v>
      </c>
      <c r="F26" s="45">
        <v>2.4445252000000002</v>
      </c>
      <c r="G26" s="46">
        <v>-670</v>
      </c>
      <c r="H26" s="47"/>
    </row>
    <row r="27" spans="1:8" s="48" customFormat="1">
      <c r="A27" s="42" t="s">
        <v>44</v>
      </c>
      <c r="B27" s="43">
        <v>14890000</v>
      </c>
      <c r="C27" s="43">
        <v>14900000</v>
      </c>
      <c r="D27" s="43">
        <v>14895000</v>
      </c>
      <c r="E27" s="44">
        <v>14.895</v>
      </c>
      <c r="F27" s="45">
        <v>1.8897781</v>
      </c>
      <c r="G27" s="46">
        <v>-660</v>
      </c>
      <c r="H27" s="47"/>
    </row>
    <row r="28" spans="1:8" s="48" customFormat="1">
      <c r="A28" s="42" t="s">
        <v>44</v>
      </c>
      <c r="B28" s="43">
        <v>14900000</v>
      </c>
      <c r="C28" s="43">
        <v>14910000</v>
      </c>
      <c r="D28" s="43">
        <v>14905000</v>
      </c>
      <c r="E28" s="44">
        <v>14.904999999999999</v>
      </c>
      <c r="F28" s="45">
        <v>3.8432689999999998</v>
      </c>
      <c r="G28" s="46">
        <v>-650</v>
      </c>
      <c r="H28" s="47"/>
    </row>
    <row r="29" spans="1:8" s="48" customFormat="1">
      <c r="A29" s="42" t="s">
        <v>44</v>
      </c>
      <c r="B29" s="43">
        <v>14910000</v>
      </c>
      <c r="C29" s="43">
        <v>14920000</v>
      </c>
      <c r="D29" s="43">
        <v>14915000</v>
      </c>
      <c r="E29" s="44">
        <v>14.914999999999999</v>
      </c>
      <c r="F29" s="45">
        <v>2.8981283000000002</v>
      </c>
      <c r="G29" s="46">
        <v>-640</v>
      </c>
      <c r="H29" s="47"/>
    </row>
    <row r="30" spans="1:8" s="48" customFormat="1">
      <c r="A30" s="42" t="s">
        <v>44</v>
      </c>
      <c r="B30" s="43">
        <v>14920000</v>
      </c>
      <c r="C30" s="43">
        <v>14930000</v>
      </c>
      <c r="D30" s="43">
        <v>14925000</v>
      </c>
      <c r="E30" s="44">
        <v>14.925000000000001</v>
      </c>
      <c r="F30" s="45">
        <v>1.2002622000000001</v>
      </c>
      <c r="G30" s="46">
        <v>-630</v>
      </c>
      <c r="H30" s="47"/>
    </row>
    <row r="31" spans="1:8" s="48" customFormat="1">
      <c r="A31" s="42" t="s">
        <v>44</v>
      </c>
      <c r="B31" s="43">
        <v>14930000</v>
      </c>
      <c r="C31" s="43">
        <v>14940000</v>
      </c>
      <c r="D31" s="43">
        <v>14935000</v>
      </c>
      <c r="E31" s="44">
        <v>14.935</v>
      </c>
      <c r="F31" s="45">
        <v>0</v>
      </c>
      <c r="G31" s="46">
        <v>-620</v>
      </c>
      <c r="H31" s="47" t="s">
        <v>18</v>
      </c>
    </row>
    <row r="32" spans="1:8" s="48" customFormat="1">
      <c r="A32" s="42" t="s">
        <v>44</v>
      </c>
      <c r="B32" s="43">
        <v>14940000</v>
      </c>
      <c r="C32" s="43">
        <v>14950000</v>
      </c>
      <c r="D32" s="43">
        <v>14945000</v>
      </c>
      <c r="E32" s="44">
        <v>14.945</v>
      </c>
      <c r="F32" s="45">
        <v>0</v>
      </c>
      <c r="G32" s="46">
        <v>-610</v>
      </c>
      <c r="H32" s="47"/>
    </row>
    <row r="33" spans="1:8" s="48" customFormat="1">
      <c r="A33" s="42" t="s">
        <v>44</v>
      </c>
      <c r="B33" s="43">
        <v>14950000</v>
      </c>
      <c r="C33" s="43">
        <v>14960000</v>
      </c>
      <c r="D33" s="43">
        <v>14955000</v>
      </c>
      <c r="E33" s="44">
        <v>14.955</v>
      </c>
      <c r="F33" s="45">
        <v>1.3652309</v>
      </c>
      <c r="G33" s="46">
        <v>-600</v>
      </c>
      <c r="H33" s="47"/>
    </row>
    <row r="34" spans="1:8" s="48" customFormat="1">
      <c r="A34" s="42" t="s">
        <v>44</v>
      </c>
      <c r="B34" s="43">
        <v>14960000</v>
      </c>
      <c r="C34" s="43">
        <v>14970000</v>
      </c>
      <c r="D34" s="43">
        <v>14965000</v>
      </c>
      <c r="E34" s="44">
        <v>14.965</v>
      </c>
      <c r="F34" s="45">
        <v>1.0002115</v>
      </c>
      <c r="G34" s="46">
        <v>-590</v>
      </c>
      <c r="H34" s="47"/>
    </row>
    <row r="35" spans="1:8" s="48" customFormat="1">
      <c r="A35" s="42" t="s">
        <v>44</v>
      </c>
      <c r="B35" s="43">
        <v>14970000</v>
      </c>
      <c r="C35" s="43">
        <v>14980000</v>
      </c>
      <c r="D35" s="43">
        <v>14975000</v>
      </c>
      <c r="E35" s="44">
        <v>14.975</v>
      </c>
      <c r="F35" s="45">
        <v>3.8086495</v>
      </c>
      <c r="G35" s="46">
        <v>-580</v>
      </c>
      <c r="H35" s="47"/>
    </row>
    <row r="36" spans="1:8" s="48" customFormat="1">
      <c r="A36" s="42" t="s">
        <v>44</v>
      </c>
      <c r="B36" s="43">
        <v>14980000</v>
      </c>
      <c r="C36" s="43">
        <v>14990000</v>
      </c>
      <c r="D36" s="43">
        <v>14985000</v>
      </c>
      <c r="E36" s="44">
        <v>14.984999999999999</v>
      </c>
      <c r="F36" s="45">
        <v>2.3645675000000002</v>
      </c>
      <c r="G36" s="46">
        <v>-570</v>
      </c>
      <c r="H36" s="47"/>
    </row>
    <row r="37" spans="1:8" s="48" customFormat="1">
      <c r="A37" s="42" t="s">
        <v>44</v>
      </c>
      <c r="B37" s="43">
        <v>14990000</v>
      </c>
      <c r="C37" s="43">
        <v>15000000</v>
      </c>
      <c r="D37" s="43">
        <v>14995000</v>
      </c>
      <c r="E37" s="44">
        <v>14.994999999999999</v>
      </c>
      <c r="F37" s="45">
        <v>2.7429366000000002</v>
      </c>
      <c r="G37" s="46">
        <v>-560</v>
      </c>
      <c r="H37" s="47"/>
    </row>
    <row r="38" spans="1:8" s="48" customFormat="1">
      <c r="A38" s="42" t="s">
        <v>44</v>
      </c>
      <c r="B38" s="43">
        <v>15000000</v>
      </c>
      <c r="C38" s="43">
        <v>15010000</v>
      </c>
      <c r="D38" s="43">
        <v>15005000</v>
      </c>
      <c r="E38" s="44">
        <v>15.005000000000001</v>
      </c>
      <c r="F38" s="45">
        <v>0.50783480000000003</v>
      </c>
      <c r="G38" s="46">
        <v>-550</v>
      </c>
      <c r="H38" s="47"/>
    </row>
    <row r="39" spans="1:8" s="48" customFormat="1">
      <c r="A39" s="42" t="s">
        <v>44</v>
      </c>
      <c r="B39" s="43">
        <v>15010000</v>
      </c>
      <c r="C39" s="43">
        <v>15020000</v>
      </c>
      <c r="D39" s="43">
        <v>15015000</v>
      </c>
      <c r="E39" s="44">
        <v>15.015000000000001</v>
      </c>
      <c r="F39" s="45">
        <v>1.2442439999999999</v>
      </c>
      <c r="G39" s="46">
        <v>-540</v>
      </c>
      <c r="H39" s="47"/>
    </row>
    <row r="40" spans="1:8" s="48" customFormat="1">
      <c r="A40" s="42" t="s">
        <v>44</v>
      </c>
      <c r="B40" s="43">
        <v>15020000</v>
      </c>
      <c r="C40" s="43">
        <v>15030000</v>
      </c>
      <c r="D40" s="43">
        <v>15025000</v>
      </c>
      <c r="E40" s="44">
        <v>15.025</v>
      </c>
      <c r="F40" s="45">
        <v>2.2417357</v>
      </c>
      <c r="G40" s="46">
        <v>-530</v>
      </c>
      <c r="H40" s="47"/>
    </row>
    <row r="41" spans="1:8" s="48" customFormat="1">
      <c r="A41" s="42" t="s">
        <v>44</v>
      </c>
      <c r="B41" s="43">
        <v>15030000</v>
      </c>
      <c r="C41" s="43">
        <v>15040000</v>
      </c>
      <c r="D41" s="43">
        <v>15035000</v>
      </c>
      <c r="E41" s="44">
        <v>15.035</v>
      </c>
      <c r="F41" s="45">
        <v>0.45543455999999999</v>
      </c>
      <c r="G41" s="46">
        <v>-520</v>
      </c>
      <c r="H41" s="47"/>
    </row>
    <row r="42" spans="1:8" s="48" customFormat="1">
      <c r="A42" s="42" t="s">
        <v>44</v>
      </c>
      <c r="B42" s="43">
        <v>15040000</v>
      </c>
      <c r="C42" s="43">
        <v>15050000</v>
      </c>
      <c r="D42" s="43">
        <v>15045000</v>
      </c>
      <c r="E42" s="44">
        <v>15.045</v>
      </c>
      <c r="F42" s="45">
        <v>1.8926552999999999</v>
      </c>
      <c r="G42" s="46">
        <v>-510</v>
      </c>
      <c r="H42" s="47"/>
    </row>
    <row r="43" spans="1:8" s="48" customFormat="1">
      <c r="A43" s="42" t="s">
        <v>44</v>
      </c>
      <c r="B43" s="43">
        <v>15050000</v>
      </c>
      <c r="C43" s="43">
        <v>15060000</v>
      </c>
      <c r="D43" s="43">
        <v>15055000</v>
      </c>
      <c r="E43" s="44">
        <v>15.055</v>
      </c>
      <c r="F43" s="45">
        <v>0.83620656000000004</v>
      </c>
      <c r="G43" s="46">
        <v>-500</v>
      </c>
      <c r="H43" s="47"/>
    </row>
    <row r="44" spans="1:8" s="48" customFormat="1">
      <c r="A44" s="42" t="s">
        <v>44</v>
      </c>
      <c r="B44" s="43">
        <v>15060000</v>
      </c>
      <c r="C44" s="43">
        <v>15070000</v>
      </c>
      <c r="D44" s="43">
        <v>15065000</v>
      </c>
      <c r="E44" s="44">
        <v>15.065</v>
      </c>
      <c r="F44" s="45">
        <v>1.2743967</v>
      </c>
      <c r="G44" s="46">
        <v>-490</v>
      </c>
      <c r="H44" s="47"/>
    </row>
    <row r="45" spans="1:8" s="48" customFormat="1">
      <c r="A45" s="42" t="s">
        <v>44</v>
      </c>
      <c r="B45" s="43">
        <v>15070000</v>
      </c>
      <c r="C45" s="43">
        <v>15080000</v>
      </c>
      <c r="D45" s="43">
        <v>15075000</v>
      </c>
      <c r="E45" s="44">
        <v>15.074999999999999</v>
      </c>
      <c r="F45" s="45">
        <v>2.1823600000000001</v>
      </c>
      <c r="G45" s="46">
        <v>-480</v>
      </c>
      <c r="H45" s="47"/>
    </row>
    <row r="46" spans="1:8" s="48" customFormat="1">
      <c r="A46" s="42" t="s">
        <v>44</v>
      </c>
      <c r="B46" s="43">
        <v>15080000</v>
      </c>
      <c r="C46" s="43">
        <v>15090000</v>
      </c>
      <c r="D46" s="43">
        <v>15085000</v>
      </c>
      <c r="E46" s="44">
        <v>15.085000000000001</v>
      </c>
      <c r="F46" s="45">
        <v>2.0718348</v>
      </c>
      <c r="G46" s="46">
        <v>-470</v>
      </c>
      <c r="H46" s="47"/>
    </row>
    <row r="47" spans="1:8" s="48" customFormat="1">
      <c r="A47" s="42" t="s">
        <v>44</v>
      </c>
      <c r="B47" s="43">
        <v>15090000</v>
      </c>
      <c r="C47" s="43">
        <v>15100000</v>
      </c>
      <c r="D47" s="43">
        <v>15095000</v>
      </c>
      <c r="E47" s="44">
        <v>15.095000000000001</v>
      </c>
      <c r="F47" s="45">
        <v>1.5453285999999999</v>
      </c>
      <c r="G47" s="46">
        <v>-460</v>
      </c>
      <c r="H47" s="47"/>
    </row>
    <row r="48" spans="1:8" s="48" customFormat="1">
      <c r="A48" s="42" t="s">
        <v>44</v>
      </c>
      <c r="B48" s="43">
        <v>15100000</v>
      </c>
      <c r="C48" s="43">
        <v>15110000</v>
      </c>
      <c r="D48" s="43">
        <v>15105000</v>
      </c>
      <c r="E48" s="44">
        <v>15.105</v>
      </c>
      <c r="F48" s="45">
        <v>1.3980147999999999</v>
      </c>
      <c r="G48" s="46">
        <v>-450</v>
      </c>
      <c r="H48" s="47"/>
    </row>
    <row r="49" spans="1:8" s="48" customFormat="1">
      <c r="A49" s="42" t="s">
        <v>44</v>
      </c>
      <c r="B49" s="43">
        <v>15110000</v>
      </c>
      <c r="C49" s="43">
        <v>15120000</v>
      </c>
      <c r="D49" s="43">
        <v>15115000</v>
      </c>
      <c r="E49" s="44">
        <v>15.115</v>
      </c>
      <c r="F49" s="45">
        <v>4.0292130000000004</v>
      </c>
      <c r="G49" s="46">
        <v>-440</v>
      </c>
      <c r="H49" s="47"/>
    </row>
    <row r="50" spans="1:8" s="48" customFormat="1">
      <c r="A50" s="42" t="s">
        <v>44</v>
      </c>
      <c r="B50" s="43">
        <v>15120000</v>
      </c>
      <c r="C50" s="43">
        <v>15130000</v>
      </c>
      <c r="D50" s="43">
        <v>15125000</v>
      </c>
      <c r="E50" s="44">
        <v>15.125</v>
      </c>
      <c r="F50" s="45">
        <v>0.77743799999999996</v>
      </c>
      <c r="G50" s="46">
        <v>-430</v>
      </c>
      <c r="H50" s="47"/>
    </row>
    <row r="51" spans="1:8" s="48" customFormat="1">
      <c r="A51" s="42" t="s">
        <v>44</v>
      </c>
      <c r="B51" s="43">
        <v>15130000</v>
      </c>
      <c r="C51" s="43">
        <v>15140000</v>
      </c>
      <c r="D51" s="43">
        <v>15135000</v>
      </c>
      <c r="E51" s="44">
        <v>15.135</v>
      </c>
      <c r="F51" s="45">
        <v>0.6908879</v>
      </c>
      <c r="G51" s="46">
        <v>-420</v>
      </c>
      <c r="H51" s="47"/>
    </row>
    <row r="52" spans="1:8" s="48" customFormat="1">
      <c r="A52" s="42" t="s">
        <v>44</v>
      </c>
      <c r="B52" s="43">
        <v>15140000</v>
      </c>
      <c r="C52" s="43">
        <v>15150000</v>
      </c>
      <c r="D52" s="43">
        <v>15145000</v>
      </c>
      <c r="E52" s="44">
        <v>15.145</v>
      </c>
      <c r="F52" s="45">
        <v>4.2082486000000001</v>
      </c>
      <c r="G52" s="46">
        <v>-410</v>
      </c>
      <c r="H52" s="47"/>
    </row>
    <row r="53" spans="1:8" s="48" customFormat="1">
      <c r="A53" s="42" t="s">
        <v>44</v>
      </c>
      <c r="B53" s="43">
        <v>15150000</v>
      </c>
      <c r="C53" s="43">
        <v>15160000</v>
      </c>
      <c r="D53" s="43">
        <v>15155000</v>
      </c>
      <c r="E53" s="44">
        <v>15.154999999999999</v>
      </c>
      <c r="F53" s="45">
        <v>3.2218551999999998</v>
      </c>
      <c r="G53" s="46">
        <v>-400</v>
      </c>
      <c r="H53" s="47"/>
    </row>
    <row r="54" spans="1:8" s="48" customFormat="1">
      <c r="A54" s="42" t="s">
        <v>44</v>
      </c>
      <c r="B54" s="43">
        <v>15160000</v>
      </c>
      <c r="C54" s="43">
        <v>15170000</v>
      </c>
      <c r="D54" s="43">
        <v>15165000</v>
      </c>
      <c r="E54" s="44">
        <v>15.164999999999999</v>
      </c>
      <c r="F54" s="45">
        <v>1.6501564</v>
      </c>
      <c r="G54" s="46">
        <v>-390</v>
      </c>
      <c r="H54" s="47"/>
    </row>
    <row r="55" spans="1:8" s="48" customFormat="1">
      <c r="A55" s="42" t="s">
        <v>44</v>
      </c>
      <c r="B55" s="43">
        <v>15170000</v>
      </c>
      <c r="C55" s="43">
        <v>15180000</v>
      </c>
      <c r="D55" s="43">
        <v>15175000</v>
      </c>
      <c r="E55" s="44">
        <v>15.175000000000001</v>
      </c>
      <c r="F55" s="45">
        <v>4.0584129999999998</v>
      </c>
      <c r="G55" s="46">
        <v>-380</v>
      </c>
      <c r="H55" s="47"/>
    </row>
    <row r="56" spans="1:8" s="48" customFormat="1">
      <c r="A56" s="42" t="s">
        <v>44</v>
      </c>
      <c r="B56" s="43">
        <v>15180000</v>
      </c>
      <c r="C56" s="43">
        <v>15190000</v>
      </c>
      <c r="D56" s="43">
        <v>15185000</v>
      </c>
      <c r="E56" s="44">
        <v>15.185</v>
      </c>
      <c r="F56" s="45">
        <v>2.4464950000000001</v>
      </c>
      <c r="G56" s="46">
        <v>-370</v>
      </c>
      <c r="H56" s="47"/>
    </row>
    <row r="57" spans="1:8" s="48" customFormat="1">
      <c r="A57" s="42" t="s">
        <v>44</v>
      </c>
      <c r="B57" s="43">
        <v>15190000</v>
      </c>
      <c r="C57" s="43">
        <v>15200000</v>
      </c>
      <c r="D57" s="43">
        <v>15195000</v>
      </c>
      <c r="E57" s="44">
        <v>15.195</v>
      </c>
      <c r="F57" s="45">
        <v>0.93575030000000003</v>
      </c>
      <c r="G57" s="46">
        <v>-360</v>
      </c>
      <c r="H57" s="47"/>
    </row>
    <row r="58" spans="1:8" s="48" customFormat="1">
      <c r="A58" s="42" t="s">
        <v>44</v>
      </c>
      <c r="B58" s="43">
        <v>15200000</v>
      </c>
      <c r="C58" s="43">
        <v>15210000</v>
      </c>
      <c r="D58" s="43">
        <v>15205000</v>
      </c>
      <c r="E58" s="44">
        <v>15.205</v>
      </c>
      <c r="F58" s="45">
        <v>2.1590402000000002</v>
      </c>
      <c r="G58" s="46">
        <v>-350</v>
      </c>
      <c r="H58" s="47"/>
    </row>
    <row r="59" spans="1:8" s="48" customFormat="1">
      <c r="A59" s="42" t="s">
        <v>44</v>
      </c>
      <c r="B59" s="43">
        <v>15210000</v>
      </c>
      <c r="C59" s="43">
        <v>15220000</v>
      </c>
      <c r="D59" s="43">
        <v>15215000</v>
      </c>
      <c r="E59" s="44">
        <v>15.215</v>
      </c>
      <c r="F59" s="45">
        <v>0.85738420000000004</v>
      </c>
      <c r="G59" s="46">
        <v>-340</v>
      </c>
      <c r="H59" s="47"/>
    </row>
    <row r="60" spans="1:8" s="48" customFormat="1">
      <c r="A60" s="42" t="s">
        <v>44</v>
      </c>
      <c r="B60" s="43">
        <v>15220000</v>
      </c>
      <c r="C60" s="43">
        <v>15230000</v>
      </c>
      <c r="D60" s="43">
        <v>15225000</v>
      </c>
      <c r="E60" s="44">
        <v>15.225</v>
      </c>
      <c r="F60" s="45">
        <v>1.8026546000000001</v>
      </c>
      <c r="G60" s="46">
        <v>-330</v>
      </c>
      <c r="H60" s="47"/>
    </row>
    <row r="61" spans="1:8" s="48" customFormat="1">
      <c r="A61" s="42" t="s">
        <v>44</v>
      </c>
      <c r="B61" s="43">
        <v>15230000</v>
      </c>
      <c r="C61" s="43">
        <v>15240000</v>
      </c>
      <c r="D61" s="43">
        <v>15235000</v>
      </c>
      <c r="E61" s="44">
        <v>15.234999999999999</v>
      </c>
      <c r="F61" s="45">
        <v>1.8386127000000001</v>
      </c>
      <c r="G61" s="46">
        <v>-320</v>
      </c>
      <c r="H61" s="47"/>
    </row>
    <row r="62" spans="1:8" s="48" customFormat="1">
      <c r="A62" s="42" t="s">
        <v>44</v>
      </c>
      <c r="B62" s="43">
        <v>15240000</v>
      </c>
      <c r="C62" s="43">
        <v>15250000</v>
      </c>
      <c r="D62" s="43">
        <v>15245000</v>
      </c>
      <c r="E62" s="44">
        <v>15.244999999999999</v>
      </c>
      <c r="F62" s="45">
        <v>2.0602021000000001</v>
      </c>
      <c r="G62" s="46">
        <v>-310</v>
      </c>
      <c r="H62" s="47"/>
    </row>
    <row r="63" spans="1:8" s="48" customFormat="1">
      <c r="A63" s="42" t="s">
        <v>44</v>
      </c>
      <c r="B63" s="43">
        <v>15250000</v>
      </c>
      <c r="C63" s="43">
        <v>15260000</v>
      </c>
      <c r="D63" s="43">
        <v>15255000</v>
      </c>
      <c r="E63" s="44">
        <v>15.255000000000001</v>
      </c>
      <c r="F63" s="45">
        <v>3.1629423999999999</v>
      </c>
      <c r="G63" s="46">
        <v>-300</v>
      </c>
      <c r="H63" s="47"/>
    </row>
    <row r="64" spans="1:8" s="48" customFormat="1">
      <c r="A64" s="42" t="s">
        <v>44</v>
      </c>
      <c r="B64" s="43">
        <v>15260000</v>
      </c>
      <c r="C64" s="43">
        <v>15270000</v>
      </c>
      <c r="D64" s="43">
        <v>15265000</v>
      </c>
      <c r="E64" s="44">
        <v>15.265000000000001</v>
      </c>
      <c r="F64" s="45">
        <v>2.0038178000000002</v>
      </c>
      <c r="G64" s="46">
        <v>-290</v>
      </c>
      <c r="H64" s="47" t="s">
        <v>19</v>
      </c>
    </row>
    <row r="65" spans="1:8" s="48" customFormat="1">
      <c r="A65" s="42" t="s">
        <v>44</v>
      </c>
      <c r="B65" s="43">
        <v>15270000</v>
      </c>
      <c r="C65" s="43">
        <v>15280000</v>
      </c>
      <c r="D65" s="43">
        <v>15275000</v>
      </c>
      <c r="E65" s="44">
        <v>15.275</v>
      </c>
      <c r="F65" s="45">
        <v>1.5910548</v>
      </c>
      <c r="G65" s="46">
        <v>-280</v>
      </c>
      <c r="H65" s="47"/>
    </row>
    <row r="66" spans="1:8" s="48" customFormat="1">
      <c r="A66" s="42" t="s">
        <v>44</v>
      </c>
      <c r="B66" s="43">
        <v>15280000</v>
      </c>
      <c r="C66" s="43">
        <v>15290000</v>
      </c>
      <c r="D66" s="43">
        <v>15285000</v>
      </c>
      <c r="E66" s="44">
        <v>15.285</v>
      </c>
      <c r="F66" s="45">
        <v>1.4029639</v>
      </c>
      <c r="G66" s="46">
        <v>-270</v>
      </c>
      <c r="H66" s="47"/>
    </row>
    <row r="67" spans="1:8" s="48" customFormat="1">
      <c r="A67" s="42" t="s">
        <v>44</v>
      </c>
      <c r="B67" s="43">
        <v>15290000</v>
      </c>
      <c r="C67" s="43">
        <v>15300000</v>
      </c>
      <c r="D67" s="43">
        <v>15295000</v>
      </c>
      <c r="E67" s="44">
        <v>15.295</v>
      </c>
      <c r="F67" s="45">
        <v>2.1182547</v>
      </c>
      <c r="G67" s="46">
        <v>-260</v>
      </c>
      <c r="H67" s="47"/>
    </row>
    <row r="68" spans="1:8" s="48" customFormat="1">
      <c r="A68" s="42" t="s">
        <v>44</v>
      </c>
      <c r="B68" s="43">
        <v>15300000</v>
      </c>
      <c r="C68" s="43">
        <v>15310000</v>
      </c>
      <c r="D68" s="43">
        <v>15305000</v>
      </c>
      <c r="E68" s="44">
        <v>15.305</v>
      </c>
      <c r="F68" s="45">
        <v>1.6974334</v>
      </c>
      <c r="G68" s="46">
        <v>-250</v>
      </c>
      <c r="H68" s="47"/>
    </row>
    <row r="69" spans="1:8" s="48" customFormat="1">
      <c r="A69" s="42" t="s">
        <v>44</v>
      </c>
      <c r="B69" s="43">
        <v>15310000</v>
      </c>
      <c r="C69" s="43">
        <v>15320000</v>
      </c>
      <c r="D69" s="43">
        <v>15315000</v>
      </c>
      <c r="E69" s="44">
        <v>15.315</v>
      </c>
      <c r="F69" s="45">
        <v>2.4383952999999998</v>
      </c>
      <c r="G69" s="46">
        <v>-240</v>
      </c>
      <c r="H69" s="47" t="s">
        <v>16</v>
      </c>
    </row>
    <row r="70" spans="1:8" s="48" customFormat="1">
      <c r="A70" s="42" t="s">
        <v>44</v>
      </c>
      <c r="B70" s="43">
        <v>15320000</v>
      </c>
      <c r="C70" s="43">
        <v>15330000</v>
      </c>
      <c r="D70" s="43">
        <v>15325000</v>
      </c>
      <c r="E70" s="44">
        <v>15.324999999999999</v>
      </c>
      <c r="F70" s="45">
        <v>1.4589840000000001</v>
      </c>
      <c r="G70" s="46">
        <v>-230</v>
      </c>
      <c r="H70" s="47"/>
    </row>
    <row r="71" spans="1:8" s="48" customFormat="1">
      <c r="A71" s="42" t="s">
        <v>44</v>
      </c>
      <c r="B71" s="43">
        <v>15330000</v>
      </c>
      <c r="C71" s="43">
        <v>15340000</v>
      </c>
      <c r="D71" s="43">
        <v>15335000</v>
      </c>
      <c r="E71" s="44">
        <v>15.335000000000001</v>
      </c>
      <c r="F71" s="45">
        <v>0.81657690000000005</v>
      </c>
      <c r="G71" s="46">
        <v>-220</v>
      </c>
      <c r="H71" s="47"/>
    </row>
    <row r="72" spans="1:8" s="48" customFormat="1">
      <c r="A72" s="42" t="s">
        <v>44</v>
      </c>
      <c r="B72" s="43">
        <v>15340000</v>
      </c>
      <c r="C72" s="43">
        <v>15350000</v>
      </c>
      <c r="D72" s="43">
        <v>15345000</v>
      </c>
      <c r="E72" s="44">
        <v>15.345000000000001</v>
      </c>
      <c r="F72" s="45">
        <v>0</v>
      </c>
      <c r="G72" s="46">
        <v>-210</v>
      </c>
      <c r="H72" s="47"/>
    </row>
    <row r="73" spans="1:8" s="48" customFormat="1">
      <c r="A73" s="42" t="s">
        <v>44</v>
      </c>
      <c r="B73" s="43">
        <v>15350000</v>
      </c>
      <c r="C73" s="43">
        <v>15360000</v>
      </c>
      <c r="D73" s="43">
        <v>15355000</v>
      </c>
      <c r="E73" s="44">
        <v>15.355</v>
      </c>
      <c r="F73" s="45">
        <v>1.8694301</v>
      </c>
      <c r="G73" s="46">
        <v>-200</v>
      </c>
      <c r="H73" s="47"/>
    </row>
    <row r="74" spans="1:8" s="48" customFormat="1">
      <c r="A74" s="42" t="s">
        <v>44</v>
      </c>
      <c r="B74" s="43">
        <v>15360000</v>
      </c>
      <c r="C74" s="43">
        <v>15370000</v>
      </c>
      <c r="D74" s="43">
        <v>15365000</v>
      </c>
      <c r="E74" s="44">
        <v>15.365</v>
      </c>
      <c r="F74" s="45">
        <v>1.5514939000000001</v>
      </c>
      <c r="G74" s="46">
        <v>-190</v>
      </c>
      <c r="H74" s="47"/>
    </row>
    <row r="75" spans="1:8" s="48" customFormat="1">
      <c r="A75" s="42" t="s">
        <v>44</v>
      </c>
      <c r="B75" s="43">
        <v>15370000</v>
      </c>
      <c r="C75" s="43">
        <v>15380000</v>
      </c>
      <c r="D75" s="43">
        <v>15375000</v>
      </c>
      <c r="E75" s="44">
        <v>15.375</v>
      </c>
      <c r="F75" s="45">
        <v>1.2266524999999999</v>
      </c>
      <c r="G75" s="46">
        <v>-180</v>
      </c>
      <c r="H75" s="47"/>
    </row>
    <row r="76" spans="1:8" s="48" customFormat="1">
      <c r="A76" s="42" t="s">
        <v>44</v>
      </c>
      <c r="B76" s="43">
        <v>15380000</v>
      </c>
      <c r="C76" s="43">
        <v>15390000</v>
      </c>
      <c r="D76" s="43">
        <v>15385000</v>
      </c>
      <c r="E76" s="44">
        <v>15.385</v>
      </c>
      <c r="F76" s="45">
        <v>1.9597306999999999</v>
      </c>
      <c r="G76" s="46">
        <v>-170</v>
      </c>
      <c r="H76" s="47"/>
    </row>
    <row r="77" spans="1:8" s="48" customFormat="1">
      <c r="A77" s="42" t="s">
        <v>44</v>
      </c>
      <c r="B77" s="43">
        <v>15390000</v>
      </c>
      <c r="C77" s="43">
        <v>15400000</v>
      </c>
      <c r="D77" s="43">
        <v>15395000</v>
      </c>
      <c r="E77" s="44">
        <v>15.395</v>
      </c>
      <c r="F77" s="45">
        <v>1.5777977999999999</v>
      </c>
      <c r="G77" s="46">
        <v>-160</v>
      </c>
      <c r="H77" s="47"/>
    </row>
    <row r="78" spans="1:8" s="48" customFormat="1">
      <c r="A78" s="42" t="s">
        <v>44</v>
      </c>
      <c r="B78" s="43">
        <v>15400000</v>
      </c>
      <c r="C78" s="43">
        <v>15410000</v>
      </c>
      <c r="D78" s="43">
        <v>15405000</v>
      </c>
      <c r="E78" s="44">
        <v>15.404999999999999</v>
      </c>
      <c r="F78" s="45">
        <v>0.74280243999999995</v>
      </c>
      <c r="G78" s="46">
        <v>-150</v>
      </c>
      <c r="H78" s="47"/>
    </row>
    <row r="79" spans="1:8" s="48" customFormat="1">
      <c r="A79" s="42" t="s">
        <v>44</v>
      </c>
      <c r="B79" s="43">
        <v>15410000</v>
      </c>
      <c r="C79" s="43">
        <v>15420000</v>
      </c>
      <c r="D79" s="43">
        <v>15415000</v>
      </c>
      <c r="E79" s="44">
        <v>15.414999999999999</v>
      </c>
      <c r="F79" s="45">
        <v>1.2132645</v>
      </c>
      <c r="G79" s="46">
        <v>-140</v>
      </c>
      <c r="H79" s="47"/>
    </row>
    <row r="80" spans="1:8" s="48" customFormat="1">
      <c r="A80" s="42" t="s">
        <v>44</v>
      </c>
      <c r="B80" s="43">
        <v>15420000</v>
      </c>
      <c r="C80" s="43">
        <v>15430000</v>
      </c>
      <c r="D80" s="43">
        <v>15425000</v>
      </c>
      <c r="E80" s="44">
        <v>15.425000000000001</v>
      </c>
      <c r="F80" s="45">
        <v>1.6418545</v>
      </c>
      <c r="G80" s="46">
        <v>-130</v>
      </c>
      <c r="H80" s="47"/>
    </row>
    <row r="81" spans="1:8" s="48" customFormat="1">
      <c r="A81" s="42" t="s">
        <v>44</v>
      </c>
      <c r="B81" s="43">
        <v>15430000</v>
      </c>
      <c r="C81" s="43">
        <v>15440000</v>
      </c>
      <c r="D81" s="43">
        <v>15435000</v>
      </c>
      <c r="E81" s="44">
        <v>15.435</v>
      </c>
      <c r="F81" s="45">
        <v>2.3854517999999998</v>
      </c>
      <c r="G81" s="46">
        <v>-120</v>
      </c>
      <c r="H81" s="47"/>
    </row>
    <row r="82" spans="1:8" s="48" customFormat="1">
      <c r="A82" s="42" t="s">
        <v>44</v>
      </c>
      <c r="B82" s="43">
        <v>15440000</v>
      </c>
      <c r="C82" s="43">
        <v>15450000</v>
      </c>
      <c r="D82" s="43">
        <v>15445000</v>
      </c>
      <c r="E82" s="44">
        <v>15.445</v>
      </c>
      <c r="F82" s="45">
        <v>1.2518415000000001</v>
      </c>
      <c r="G82" s="46">
        <v>-110</v>
      </c>
      <c r="H82" s="47"/>
    </row>
    <row r="83" spans="1:8" s="48" customFormat="1">
      <c r="A83" s="42" t="s">
        <v>44</v>
      </c>
      <c r="B83" s="43">
        <v>15450000</v>
      </c>
      <c r="C83" s="43">
        <v>15460000</v>
      </c>
      <c r="D83" s="43">
        <v>15455000</v>
      </c>
      <c r="E83" s="44">
        <v>15.455</v>
      </c>
      <c r="F83" s="45">
        <v>1.8880032</v>
      </c>
      <c r="G83" s="46">
        <v>-100</v>
      </c>
      <c r="H83" s="47"/>
    </row>
    <row r="84" spans="1:8" s="48" customFormat="1">
      <c r="A84" s="42" t="s">
        <v>44</v>
      </c>
      <c r="B84" s="43">
        <v>15460000</v>
      </c>
      <c r="C84" s="43">
        <v>15470000</v>
      </c>
      <c r="D84" s="43">
        <v>15465000</v>
      </c>
      <c r="E84" s="44">
        <v>15.465</v>
      </c>
      <c r="F84" s="45">
        <v>1.7607588999999999</v>
      </c>
      <c r="G84" s="46">
        <v>-90</v>
      </c>
      <c r="H84" s="47"/>
    </row>
    <row r="85" spans="1:8" s="48" customFormat="1">
      <c r="A85" s="42" t="s">
        <v>44</v>
      </c>
      <c r="B85" s="43">
        <v>15470000</v>
      </c>
      <c r="C85" s="43">
        <v>15480000</v>
      </c>
      <c r="D85" s="43">
        <v>15475000</v>
      </c>
      <c r="E85" s="44">
        <v>15.475</v>
      </c>
      <c r="F85" s="45">
        <v>0.73995613999999998</v>
      </c>
      <c r="G85" s="46">
        <v>-80</v>
      </c>
      <c r="H85" s="47"/>
    </row>
    <row r="86" spans="1:8" s="48" customFormat="1">
      <c r="A86" s="42" t="s">
        <v>44</v>
      </c>
      <c r="B86" s="43">
        <v>15480000</v>
      </c>
      <c r="C86" s="43">
        <v>15490000</v>
      </c>
      <c r="D86" s="43">
        <v>15485000</v>
      </c>
      <c r="E86" s="44">
        <v>15.484999999999999</v>
      </c>
      <c r="F86" s="45">
        <v>1.4200235999999999</v>
      </c>
      <c r="G86" s="46">
        <v>-70</v>
      </c>
      <c r="H86" s="47"/>
    </row>
    <row r="87" spans="1:8" s="48" customFormat="1">
      <c r="A87" s="42" t="s">
        <v>44</v>
      </c>
      <c r="B87" s="43">
        <v>15490000</v>
      </c>
      <c r="C87" s="43">
        <v>15500000</v>
      </c>
      <c r="D87" s="43">
        <v>15495000</v>
      </c>
      <c r="E87" s="44">
        <v>15.494999999999999</v>
      </c>
      <c r="F87" s="45">
        <v>1.7430254999999999</v>
      </c>
      <c r="G87" s="46">
        <v>-60</v>
      </c>
      <c r="H87" s="47"/>
    </row>
    <row r="88" spans="1:8" s="48" customFormat="1">
      <c r="A88" s="42" t="s">
        <v>44</v>
      </c>
      <c r="B88" s="43">
        <v>15500000</v>
      </c>
      <c r="C88" s="43">
        <v>15510000</v>
      </c>
      <c r="D88" s="43">
        <v>15505000</v>
      </c>
      <c r="E88" s="44">
        <v>15.505000000000001</v>
      </c>
      <c r="F88" s="45">
        <v>0.48583423999999997</v>
      </c>
      <c r="G88" s="46">
        <v>-50</v>
      </c>
      <c r="H88" s="47"/>
    </row>
    <row r="89" spans="1:8" s="48" customFormat="1">
      <c r="A89" s="42" t="s">
        <v>44</v>
      </c>
      <c r="B89" s="43">
        <v>15510000</v>
      </c>
      <c r="C89" s="43">
        <v>15520000</v>
      </c>
      <c r="D89" s="43">
        <v>15515000</v>
      </c>
      <c r="E89" s="44">
        <v>15.515000000000001</v>
      </c>
      <c r="F89" s="45">
        <v>1.2651876</v>
      </c>
      <c r="G89" s="46">
        <v>-40</v>
      </c>
      <c r="H89" s="47"/>
    </row>
    <row r="90" spans="1:8" s="48" customFormat="1">
      <c r="A90" s="42" t="s">
        <v>44</v>
      </c>
      <c r="B90" s="43">
        <v>15520000</v>
      </c>
      <c r="C90" s="43">
        <v>15530000</v>
      </c>
      <c r="D90" s="43">
        <v>15525000</v>
      </c>
      <c r="E90" s="44">
        <v>15.525</v>
      </c>
      <c r="F90" s="45">
        <v>0.71591126999999999</v>
      </c>
      <c r="G90" s="46">
        <v>-30</v>
      </c>
      <c r="H90" s="47" t="s">
        <v>83</v>
      </c>
    </row>
    <row r="91" spans="1:8" s="48" customFormat="1">
      <c r="A91" s="42" t="s">
        <v>44</v>
      </c>
      <c r="B91" s="43">
        <v>15530000</v>
      </c>
      <c r="C91" s="43">
        <v>15540000</v>
      </c>
      <c r="D91" s="43">
        <v>15535000</v>
      </c>
      <c r="E91" s="44">
        <v>15.535</v>
      </c>
      <c r="F91" s="45">
        <v>1.2572492</v>
      </c>
      <c r="G91" s="46">
        <v>-20</v>
      </c>
      <c r="H91" s="47" t="s">
        <v>84</v>
      </c>
    </row>
    <row r="92" spans="1:8" s="48" customFormat="1">
      <c r="A92" s="42" t="s">
        <v>44</v>
      </c>
      <c r="B92" s="43">
        <v>15540000</v>
      </c>
      <c r="C92" s="43">
        <v>15550000</v>
      </c>
      <c r="D92" s="43">
        <v>15545000</v>
      </c>
      <c r="E92" s="44">
        <v>15.545</v>
      </c>
      <c r="F92" s="45">
        <v>0.86539840000000001</v>
      </c>
      <c r="G92" s="46">
        <v>-10</v>
      </c>
      <c r="H92" s="47" t="s">
        <v>14</v>
      </c>
    </row>
    <row r="93" spans="1:8" s="48" customFormat="1">
      <c r="A93" s="42" t="s">
        <v>44</v>
      </c>
      <c r="B93" s="43">
        <v>15550000</v>
      </c>
      <c r="C93" s="43">
        <v>15560000</v>
      </c>
      <c r="D93" s="43">
        <v>15555000</v>
      </c>
      <c r="E93" s="44">
        <v>15.555</v>
      </c>
      <c r="F93" s="45">
        <v>0.91064619999999996</v>
      </c>
      <c r="G93" s="46">
        <v>0</v>
      </c>
      <c r="H93" s="47"/>
    </row>
    <row r="94" spans="1:8" s="48" customFormat="1">
      <c r="A94" s="42" t="s">
        <v>44</v>
      </c>
      <c r="B94" s="43">
        <v>15560000</v>
      </c>
      <c r="C94" s="43">
        <v>15570000</v>
      </c>
      <c r="D94" s="43">
        <v>15565000</v>
      </c>
      <c r="E94" s="44">
        <v>15.565</v>
      </c>
      <c r="F94" s="45">
        <v>0.57845913999999998</v>
      </c>
      <c r="G94" s="46">
        <v>10</v>
      </c>
      <c r="H94" s="47"/>
    </row>
    <row r="95" spans="1:8" s="48" customFormat="1">
      <c r="A95" s="42" t="s">
        <v>44</v>
      </c>
      <c r="B95" s="43">
        <v>15570000</v>
      </c>
      <c r="C95" s="43">
        <v>15580000</v>
      </c>
      <c r="D95" s="43">
        <v>15575000</v>
      </c>
      <c r="E95" s="44">
        <v>15.574999999999999</v>
      </c>
      <c r="F95" s="45">
        <v>0.75591960000000002</v>
      </c>
      <c r="G95" s="46">
        <v>20</v>
      </c>
      <c r="H95" s="47"/>
    </row>
    <row r="96" spans="1:8" s="48" customFormat="1">
      <c r="A96" s="42" t="s">
        <v>44</v>
      </c>
      <c r="B96" s="43">
        <v>15580000</v>
      </c>
      <c r="C96" s="43">
        <v>15590000</v>
      </c>
      <c r="D96" s="43">
        <v>15585000</v>
      </c>
      <c r="E96" s="44">
        <v>15.585000000000001</v>
      </c>
      <c r="F96" s="45">
        <v>1.0918859999999999</v>
      </c>
      <c r="G96" s="46">
        <v>30</v>
      </c>
      <c r="H96" s="47"/>
    </row>
    <row r="97" spans="1:8" s="48" customFormat="1">
      <c r="A97" s="42" t="s">
        <v>44</v>
      </c>
      <c r="B97" s="43">
        <v>15590000</v>
      </c>
      <c r="C97" s="43">
        <v>15600000</v>
      </c>
      <c r="D97" s="43">
        <v>15595000</v>
      </c>
      <c r="E97" s="44">
        <v>15.595000000000001</v>
      </c>
      <c r="F97" s="45">
        <v>0.63376653000000005</v>
      </c>
      <c r="G97" s="46">
        <v>40</v>
      </c>
      <c r="H97" s="47"/>
    </row>
    <row r="98" spans="1:8" s="48" customFormat="1">
      <c r="A98" s="42" t="s">
        <v>44</v>
      </c>
      <c r="B98" s="43">
        <v>15600000</v>
      </c>
      <c r="C98" s="43">
        <v>15610000</v>
      </c>
      <c r="D98" s="43">
        <v>15605000</v>
      </c>
      <c r="E98" s="44">
        <v>15.605</v>
      </c>
      <c r="F98" s="45">
        <v>1.0718966999999999</v>
      </c>
      <c r="G98" s="46">
        <v>50</v>
      </c>
      <c r="H98" s="47"/>
    </row>
    <row r="99" spans="1:8" s="48" customFormat="1">
      <c r="A99" s="42" t="s">
        <v>44</v>
      </c>
      <c r="B99" s="43">
        <v>15610000</v>
      </c>
      <c r="C99" s="43">
        <v>15620000</v>
      </c>
      <c r="D99" s="43">
        <v>15615000</v>
      </c>
      <c r="E99" s="44">
        <v>15.615</v>
      </c>
      <c r="F99" s="45">
        <v>1.2678517</v>
      </c>
      <c r="G99" s="46">
        <v>60</v>
      </c>
      <c r="H99" s="47"/>
    </row>
    <row r="100" spans="1:8" s="48" customFormat="1">
      <c r="A100" s="42" t="s">
        <v>44</v>
      </c>
      <c r="B100" s="43">
        <v>15620000</v>
      </c>
      <c r="C100" s="43">
        <v>15630000</v>
      </c>
      <c r="D100" s="43">
        <v>15625000</v>
      </c>
      <c r="E100" s="44">
        <v>15.625</v>
      </c>
      <c r="F100" s="45">
        <v>1.2260507</v>
      </c>
      <c r="G100" s="46">
        <v>70</v>
      </c>
      <c r="H100" s="47"/>
    </row>
    <row r="101" spans="1:8" s="48" customFormat="1">
      <c r="A101" s="42" t="s">
        <v>44</v>
      </c>
      <c r="B101" s="43">
        <v>15630000</v>
      </c>
      <c r="C101" s="43">
        <v>15640000</v>
      </c>
      <c r="D101" s="43">
        <v>15635000</v>
      </c>
      <c r="E101" s="44">
        <v>15.635</v>
      </c>
      <c r="F101" s="45">
        <v>1.4282333</v>
      </c>
      <c r="G101" s="46">
        <v>80</v>
      </c>
      <c r="H101" s="47"/>
    </row>
    <row r="102" spans="1:8" s="48" customFormat="1" ht="28.8">
      <c r="A102" s="42" t="s">
        <v>44</v>
      </c>
      <c r="B102" s="43">
        <v>15640000</v>
      </c>
      <c r="C102" s="43">
        <v>15650000</v>
      </c>
      <c r="D102" s="43">
        <v>15645000</v>
      </c>
      <c r="E102" s="44">
        <v>15.645</v>
      </c>
      <c r="F102" s="45">
        <v>1.5664107</v>
      </c>
      <c r="G102" s="46">
        <v>90</v>
      </c>
      <c r="H102" s="47" t="s">
        <v>7</v>
      </c>
    </row>
    <row r="103" spans="1:8" s="48" customFormat="1">
      <c r="A103" s="42" t="s">
        <v>44</v>
      </c>
      <c r="B103" s="43">
        <v>15650000</v>
      </c>
      <c r="C103" s="43">
        <v>15660000</v>
      </c>
      <c r="D103" s="43">
        <v>15655000</v>
      </c>
      <c r="E103" s="44">
        <v>15.654999999999999</v>
      </c>
      <c r="F103" s="45">
        <v>1.9658195999999999</v>
      </c>
      <c r="G103" s="46">
        <v>100</v>
      </c>
      <c r="H103" s="47" t="s">
        <v>11</v>
      </c>
    </row>
    <row r="104" spans="1:8" s="48" customFormat="1">
      <c r="A104" s="42" t="s">
        <v>44</v>
      </c>
      <c r="B104" s="43">
        <v>15660000</v>
      </c>
      <c r="C104" s="43">
        <v>15670000</v>
      </c>
      <c r="D104" s="43">
        <v>15665000</v>
      </c>
      <c r="E104" s="44">
        <v>15.664999999999999</v>
      </c>
      <c r="F104" s="45">
        <v>1.1220345</v>
      </c>
      <c r="G104" s="46">
        <v>110</v>
      </c>
      <c r="H104" s="47"/>
    </row>
    <row r="105" spans="1:8" s="48" customFormat="1">
      <c r="A105" s="42" t="s">
        <v>44</v>
      </c>
      <c r="B105" s="43">
        <v>15670000</v>
      </c>
      <c r="C105" s="43">
        <v>15680000</v>
      </c>
      <c r="D105" s="43">
        <v>15675000</v>
      </c>
      <c r="E105" s="44">
        <v>15.675000000000001</v>
      </c>
      <c r="F105" s="45">
        <v>0.90159655000000005</v>
      </c>
      <c r="G105" s="46">
        <v>120</v>
      </c>
      <c r="H105" s="47"/>
    </row>
    <row r="106" spans="1:8" s="48" customFormat="1">
      <c r="A106" s="42" t="s">
        <v>44</v>
      </c>
      <c r="B106" s="43">
        <v>15680000</v>
      </c>
      <c r="C106" s="43">
        <v>15690000</v>
      </c>
      <c r="D106" s="43">
        <v>15685000</v>
      </c>
      <c r="E106" s="44">
        <v>15.685</v>
      </c>
      <c r="F106" s="45">
        <v>1.2831367</v>
      </c>
      <c r="G106" s="46">
        <v>130</v>
      </c>
      <c r="H106" s="47"/>
    </row>
    <row r="107" spans="1:8" s="48" customFormat="1">
      <c r="A107" s="42" t="s">
        <v>44</v>
      </c>
      <c r="B107" s="43">
        <v>15690000</v>
      </c>
      <c r="C107" s="43">
        <v>15700000</v>
      </c>
      <c r="D107" s="43">
        <v>15695000</v>
      </c>
      <c r="E107" s="44">
        <v>15.695</v>
      </c>
      <c r="F107" s="45">
        <v>0.78880969999999995</v>
      </c>
      <c r="G107" s="46">
        <v>140</v>
      </c>
      <c r="H107" s="47"/>
    </row>
    <row r="108" spans="1:8" s="48" customFormat="1">
      <c r="A108" s="42" t="s">
        <v>44</v>
      </c>
      <c r="B108" s="43">
        <v>15700000</v>
      </c>
      <c r="C108" s="43">
        <v>15710000</v>
      </c>
      <c r="D108" s="43">
        <v>15705000</v>
      </c>
      <c r="E108" s="44">
        <v>15.705</v>
      </c>
      <c r="F108" s="45">
        <v>1.6390065</v>
      </c>
      <c r="G108" s="46">
        <v>150</v>
      </c>
      <c r="H108" s="47" t="s">
        <v>10</v>
      </c>
    </row>
    <row r="109" spans="1:8" s="48" customFormat="1">
      <c r="A109" s="42" t="s">
        <v>44</v>
      </c>
      <c r="B109" s="43">
        <v>15710000</v>
      </c>
      <c r="C109" s="43">
        <v>15720000</v>
      </c>
      <c r="D109" s="43">
        <v>15715000</v>
      </c>
      <c r="E109" s="44">
        <v>15.715</v>
      </c>
      <c r="F109" s="45">
        <v>1.2513117</v>
      </c>
      <c r="G109" s="46">
        <v>160</v>
      </c>
      <c r="H109" s="47" t="s">
        <v>9</v>
      </c>
    </row>
    <row r="110" spans="1:8" s="48" customFormat="1">
      <c r="A110" s="42" t="s">
        <v>44</v>
      </c>
      <c r="B110" s="43">
        <v>15720000</v>
      </c>
      <c r="C110" s="43">
        <v>15730000</v>
      </c>
      <c r="D110" s="43">
        <v>15725000</v>
      </c>
      <c r="E110" s="44">
        <v>15.725</v>
      </c>
      <c r="F110" s="45">
        <v>0.60336009999999995</v>
      </c>
      <c r="G110" s="46">
        <v>170</v>
      </c>
      <c r="H110" s="47"/>
    </row>
    <row r="111" spans="1:8" s="48" customFormat="1">
      <c r="A111" s="42" t="s">
        <v>44</v>
      </c>
      <c r="B111" s="43">
        <v>15730000</v>
      </c>
      <c r="C111" s="43">
        <v>15740000</v>
      </c>
      <c r="D111" s="43">
        <v>15735000</v>
      </c>
      <c r="E111" s="44">
        <v>15.734999999999999</v>
      </c>
      <c r="F111" s="45">
        <v>0.81725835999999996</v>
      </c>
      <c r="G111" s="46">
        <v>180</v>
      </c>
      <c r="H111" s="47"/>
    </row>
    <row r="112" spans="1:8" s="48" customFormat="1">
      <c r="A112" s="42" t="s">
        <v>44</v>
      </c>
      <c r="B112" s="43">
        <v>15740000</v>
      </c>
      <c r="C112" s="43">
        <v>15750000</v>
      </c>
      <c r="D112" s="43">
        <v>15745000</v>
      </c>
      <c r="E112" s="44">
        <v>15.744999999999999</v>
      </c>
      <c r="F112" s="45">
        <v>2.3984947000000001</v>
      </c>
      <c r="G112" s="46">
        <v>190</v>
      </c>
      <c r="H112" s="47"/>
    </row>
    <row r="113" spans="1:8" s="48" customFormat="1">
      <c r="A113" s="42" t="s">
        <v>44</v>
      </c>
      <c r="B113" s="43">
        <v>15750000</v>
      </c>
      <c r="C113" s="43">
        <v>15760000</v>
      </c>
      <c r="D113" s="43">
        <v>15755000</v>
      </c>
      <c r="E113" s="44">
        <v>15.755000000000001</v>
      </c>
      <c r="F113" s="45">
        <v>2.3415520000000001</v>
      </c>
      <c r="G113" s="46">
        <v>200</v>
      </c>
      <c r="H113" s="47" t="s">
        <v>12</v>
      </c>
    </row>
    <row r="114" spans="1:8" s="48" customFormat="1">
      <c r="A114" s="42" t="s">
        <v>44</v>
      </c>
      <c r="B114" s="43">
        <v>15760000</v>
      </c>
      <c r="C114" s="43">
        <v>15770000</v>
      </c>
      <c r="D114" s="43">
        <v>15765000</v>
      </c>
      <c r="E114" s="44">
        <v>15.765000000000001</v>
      </c>
      <c r="F114" s="45">
        <v>1.4453361</v>
      </c>
      <c r="G114" s="46">
        <v>210</v>
      </c>
      <c r="H114" s="47"/>
    </row>
    <row r="115" spans="1:8" s="48" customFormat="1">
      <c r="A115" s="42" t="s">
        <v>44</v>
      </c>
      <c r="B115" s="43">
        <v>15770000</v>
      </c>
      <c r="C115" s="43">
        <v>15780000</v>
      </c>
      <c r="D115" s="43">
        <v>15775000</v>
      </c>
      <c r="E115" s="44">
        <v>15.775</v>
      </c>
      <c r="F115" s="45">
        <v>1.4197736999999999</v>
      </c>
      <c r="G115" s="46">
        <v>220</v>
      </c>
      <c r="H115" s="47"/>
    </row>
    <row r="116" spans="1:8" s="48" customFormat="1">
      <c r="A116" s="42" t="s">
        <v>44</v>
      </c>
      <c r="B116" s="43">
        <v>15780000</v>
      </c>
      <c r="C116" s="43">
        <v>15790000</v>
      </c>
      <c r="D116" s="43">
        <v>15785000</v>
      </c>
      <c r="E116" s="44">
        <v>15.785</v>
      </c>
      <c r="F116" s="45">
        <v>1.6851043000000001</v>
      </c>
      <c r="G116" s="46">
        <v>230</v>
      </c>
      <c r="H116" s="47"/>
    </row>
    <row r="117" spans="1:8" s="48" customFormat="1">
      <c r="A117" s="42" t="s">
        <v>44</v>
      </c>
      <c r="B117" s="43">
        <v>15790000</v>
      </c>
      <c r="C117" s="43">
        <v>15800000</v>
      </c>
      <c r="D117" s="43">
        <v>15795000</v>
      </c>
      <c r="E117" s="44">
        <v>15.795</v>
      </c>
      <c r="F117" s="45">
        <v>0.88226249999999995</v>
      </c>
      <c r="G117" s="46">
        <v>240</v>
      </c>
      <c r="H117" s="47" t="s">
        <v>13</v>
      </c>
    </row>
    <row r="118" spans="1:8" s="48" customFormat="1">
      <c r="A118" s="42" t="s">
        <v>44</v>
      </c>
      <c r="B118" s="43">
        <v>15800000</v>
      </c>
      <c r="C118" s="43">
        <v>15810000</v>
      </c>
      <c r="D118" s="43">
        <v>15805000</v>
      </c>
      <c r="E118" s="44">
        <v>15.805</v>
      </c>
      <c r="F118" s="45">
        <v>2.988912</v>
      </c>
      <c r="G118" s="46">
        <v>250</v>
      </c>
      <c r="H118" s="47"/>
    </row>
    <row r="119" spans="1:8" s="48" customFormat="1">
      <c r="A119" s="42" t="s">
        <v>44</v>
      </c>
      <c r="B119" s="43">
        <v>15810000</v>
      </c>
      <c r="C119" s="43">
        <v>15820000</v>
      </c>
      <c r="D119" s="43">
        <v>15815000</v>
      </c>
      <c r="E119" s="44">
        <v>15.815</v>
      </c>
      <c r="F119" s="45">
        <v>1.573758</v>
      </c>
      <c r="G119" s="46">
        <v>260</v>
      </c>
      <c r="H119" s="47"/>
    </row>
    <row r="120" spans="1:8" s="48" customFormat="1">
      <c r="A120" s="42" t="s">
        <v>44</v>
      </c>
      <c r="B120" s="43">
        <v>15820000</v>
      </c>
      <c r="C120" s="43">
        <v>15830000</v>
      </c>
      <c r="D120" s="43">
        <v>15825000</v>
      </c>
      <c r="E120" s="44">
        <v>15.824999999999999</v>
      </c>
      <c r="F120" s="45">
        <v>2.2786400000000002</v>
      </c>
      <c r="G120" s="46">
        <v>270</v>
      </c>
      <c r="H120" s="47"/>
    </row>
    <row r="121" spans="1:8" s="48" customFormat="1">
      <c r="A121" s="42" t="s">
        <v>44</v>
      </c>
      <c r="B121" s="43">
        <v>15830000</v>
      </c>
      <c r="C121" s="43">
        <v>15840000</v>
      </c>
      <c r="D121" s="43">
        <v>15835000</v>
      </c>
      <c r="E121" s="44">
        <v>15.835000000000001</v>
      </c>
      <c r="F121" s="45">
        <v>1.9566451</v>
      </c>
      <c r="G121" s="46">
        <v>280</v>
      </c>
      <c r="H121" s="47"/>
    </row>
    <row r="122" spans="1:8" s="48" customFormat="1">
      <c r="A122" s="42" t="s">
        <v>44</v>
      </c>
      <c r="B122" s="43">
        <v>15840000</v>
      </c>
      <c r="C122" s="43">
        <v>15850000</v>
      </c>
      <c r="D122" s="43">
        <v>15845000</v>
      </c>
      <c r="E122" s="44">
        <v>15.845000000000001</v>
      </c>
      <c r="F122" s="45">
        <v>2.5309689999999998</v>
      </c>
      <c r="G122" s="46">
        <v>290</v>
      </c>
      <c r="H122" s="47"/>
    </row>
    <row r="123" spans="1:8" s="48" customFormat="1">
      <c r="A123" s="42" t="s">
        <v>44</v>
      </c>
      <c r="B123" s="43">
        <v>15850000</v>
      </c>
      <c r="C123" s="43">
        <v>15860000</v>
      </c>
      <c r="D123" s="43">
        <v>15855000</v>
      </c>
      <c r="E123" s="44">
        <v>15.855</v>
      </c>
      <c r="F123" s="45">
        <v>1.5727001</v>
      </c>
      <c r="G123" s="46">
        <v>300</v>
      </c>
      <c r="H123" s="47"/>
    </row>
    <row r="124" spans="1:8" s="48" customFormat="1">
      <c r="A124" s="42" t="s">
        <v>44</v>
      </c>
      <c r="B124" s="43">
        <v>15860000</v>
      </c>
      <c r="C124" s="43">
        <v>15870000</v>
      </c>
      <c r="D124" s="43">
        <v>15865000</v>
      </c>
      <c r="E124" s="44">
        <v>15.865</v>
      </c>
      <c r="F124" s="45">
        <v>1.2946215999999999</v>
      </c>
      <c r="G124" s="46">
        <v>310</v>
      </c>
      <c r="H124" s="47"/>
    </row>
    <row r="125" spans="1:8" s="48" customFormat="1">
      <c r="A125" s="42" t="s">
        <v>44</v>
      </c>
      <c r="B125" s="43">
        <v>15870000</v>
      </c>
      <c r="C125" s="43">
        <v>15880000</v>
      </c>
      <c r="D125" s="43">
        <v>15875000</v>
      </c>
      <c r="E125" s="44">
        <v>15.875</v>
      </c>
      <c r="F125" s="45">
        <v>0.95780810000000005</v>
      </c>
      <c r="G125" s="46">
        <v>320</v>
      </c>
      <c r="H125" s="47"/>
    </row>
    <row r="126" spans="1:8" s="48" customFormat="1">
      <c r="A126" s="42" t="s">
        <v>44</v>
      </c>
      <c r="B126" s="43">
        <v>15880000</v>
      </c>
      <c r="C126" s="43">
        <v>15890000</v>
      </c>
      <c r="D126" s="43">
        <v>15885000</v>
      </c>
      <c r="E126" s="44">
        <v>15.885</v>
      </c>
      <c r="F126" s="45">
        <v>1.1983143000000001</v>
      </c>
      <c r="G126" s="46">
        <v>330</v>
      </c>
      <c r="H126" s="47"/>
    </row>
    <row r="127" spans="1:8" s="48" customFormat="1">
      <c r="A127" s="42" t="s">
        <v>44</v>
      </c>
      <c r="B127" s="43">
        <v>15890000</v>
      </c>
      <c r="C127" s="43">
        <v>15900000</v>
      </c>
      <c r="D127" s="43">
        <v>15895000</v>
      </c>
      <c r="E127" s="44">
        <v>15.895</v>
      </c>
      <c r="F127" s="45">
        <v>0.35245525999999999</v>
      </c>
      <c r="G127" s="46">
        <v>340</v>
      </c>
      <c r="H127" s="47"/>
    </row>
    <row r="128" spans="1:8" s="48" customFormat="1">
      <c r="A128" s="42" t="s">
        <v>44</v>
      </c>
      <c r="B128" s="43">
        <v>15900000</v>
      </c>
      <c r="C128" s="43">
        <v>15910000</v>
      </c>
      <c r="D128" s="43">
        <v>15905000</v>
      </c>
      <c r="E128" s="44">
        <v>15.904999999999999</v>
      </c>
      <c r="F128" s="45">
        <v>0.68938140000000003</v>
      </c>
      <c r="G128" s="46">
        <v>350</v>
      </c>
      <c r="H128" s="47"/>
    </row>
    <row r="129" spans="1:8" s="48" customFormat="1">
      <c r="A129" s="42" t="s">
        <v>44</v>
      </c>
      <c r="B129" s="43">
        <v>15910000</v>
      </c>
      <c r="C129" s="43">
        <v>15920000</v>
      </c>
      <c r="D129" s="43">
        <v>15915000</v>
      </c>
      <c r="E129" s="44">
        <v>15.914999999999999</v>
      </c>
      <c r="F129" s="45">
        <v>0.53529289999999996</v>
      </c>
      <c r="G129" s="46">
        <v>360</v>
      </c>
      <c r="H129" s="47"/>
    </row>
    <row r="130" spans="1:8" s="48" customFormat="1">
      <c r="A130" s="42" t="s">
        <v>44</v>
      </c>
      <c r="B130" s="43">
        <v>15920000</v>
      </c>
      <c r="C130" s="43">
        <v>15930000</v>
      </c>
      <c r="D130" s="43">
        <v>15925000</v>
      </c>
      <c r="E130" s="44">
        <v>15.925000000000001</v>
      </c>
      <c r="F130" s="45">
        <v>0</v>
      </c>
      <c r="G130" s="46">
        <v>370</v>
      </c>
      <c r="H130" s="47"/>
    </row>
    <row r="131" spans="1:8" s="48" customFormat="1">
      <c r="A131" s="42" t="s">
        <v>44</v>
      </c>
      <c r="B131" s="43">
        <v>15930000</v>
      </c>
      <c r="C131" s="43">
        <v>15940000</v>
      </c>
      <c r="D131" s="43">
        <v>15935000</v>
      </c>
      <c r="E131" s="44">
        <v>15.935</v>
      </c>
      <c r="F131" s="45">
        <v>0.81578790000000001</v>
      </c>
      <c r="G131" s="46">
        <v>380</v>
      </c>
      <c r="H131" s="47"/>
    </row>
    <row r="132" spans="1:8" s="48" customFormat="1">
      <c r="A132" s="42" t="s">
        <v>44</v>
      </c>
      <c r="B132" s="43">
        <v>15940000</v>
      </c>
      <c r="C132" s="43">
        <v>15950000</v>
      </c>
      <c r="D132" s="43">
        <v>15945000</v>
      </c>
      <c r="E132" s="44">
        <v>15.945</v>
      </c>
      <c r="F132" s="45">
        <v>0.75574653999999997</v>
      </c>
      <c r="G132" s="46">
        <v>390</v>
      </c>
      <c r="H132" s="47"/>
    </row>
    <row r="133" spans="1:8" s="48" customFormat="1">
      <c r="A133" s="42" t="s">
        <v>44</v>
      </c>
      <c r="B133" s="43">
        <v>15950000</v>
      </c>
      <c r="C133" s="43">
        <v>15960000</v>
      </c>
      <c r="D133" s="43">
        <v>15955000</v>
      </c>
      <c r="E133" s="44">
        <v>15.955</v>
      </c>
      <c r="F133" s="45">
        <v>1.3161527</v>
      </c>
      <c r="G133" s="46">
        <v>400</v>
      </c>
      <c r="H133" s="47"/>
    </row>
    <row r="134" spans="1:8" s="48" customFormat="1">
      <c r="A134" s="42" t="s">
        <v>44</v>
      </c>
      <c r="B134" s="43">
        <v>15960000</v>
      </c>
      <c r="C134" s="43">
        <v>15970000</v>
      </c>
      <c r="D134" s="43">
        <v>15965000</v>
      </c>
      <c r="E134" s="44">
        <v>15.965</v>
      </c>
      <c r="F134" s="45">
        <v>0.29518973999999998</v>
      </c>
      <c r="G134" s="46">
        <v>410</v>
      </c>
      <c r="H134" s="47"/>
    </row>
    <row r="135" spans="1:8" s="48" customFormat="1">
      <c r="A135" s="42" t="s">
        <v>44</v>
      </c>
      <c r="B135" s="43">
        <v>15970000</v>
      </c>
      <c r="C135" s="43">
        <v>15980000</v>
      </c>
      <c r="D135" s="43">
        <v>15975000</v>
      </c>
      <c r="E135" s="44">
        <v>15.975</v>
      </c>
      <c r="F135" s="45">
        <v>0.31192734999999999</v>
      </c>
      <c r="G135" s="46">
        <v>420</v>
      </c>
      <c r="H135" s="47"/>
    </row>
    <row r="136" spans="1:8" s="48" customFormat="1">
      <c r="A136" s="42" t="s">
        <v>44</v>
      </c>
      <c r="B136" s="43">
        <v>15980000</v>
      </c>
      <c r="C136" s="43">
        <v>15990000</v>
      </c>
      <c r="D136" s="43">
        <v>15985000</v>
      </c>
      <c r="E136" s="44">
        <v>15.984999999999999</v>
      </c>
      <c r="F136" s="45">
        <v>0</v>
      </c>
      <c r="G136" s="46">
        <v>430</v>
      </c>
      <c r="H136" s="47"/>
    </row>
    <row r="137" spans="1:8" s="48" customFormat="1">
      <c r="A137" s="42" t="s">
        <v>44</v>
      </c>
      <c r="B137" s="43">
        <v>15990000</v>
      </c>
      <c r="C137" s="43">
        <v>16000000</v>
      </c>
      <c r="D137" s="43">
        <v>15995000</v>
      </c>
      <c r="E137" s="44">
        <v>15.994999999999999</v>
      </c>
      <c r="F137" s="45">
        <v>0.33195891999999999</v>
      </c>
      <c r="G137" s="46">
        <v>440</v>
      </c>
      <c r="H137" s="47"/>
    </row>
    <row r="138" spans="1:8" s="48" customFormat="1">
      <c r="A138" s="42" t="s">
        <v>44</v>
      </c>
      <c r="B138" s="43">
        <v>16000000</v>
      </c>
      <c r="C138" s="43">
        <v>16010000</v>
      </c>
      <c r="D138" s="43">
        <v>16005000</v>
      </c>
      <c r="E138" s="44">
        <v>16.004999999999999</v>
      </c>
      <c r="F138" s="45">
        <v>0.41910586</v>
      </c>
      <c r="G138" s="46">
        <v>450</v>
      </c>
      <c r="H138" s="47"/>
    </row>
    <row r="139" spans="1:8" s="48" customFormat="1">
      <c r="A139" s="42" t="s">
        <v>44</v>
      </c>
      <c r="B139" s="43">
        <v>16010000</v>
      </c>
      <c r="C139" s="43">
        <v>16020000</v>
      </c>
      <c r="D139" s="43">
        <v>16015000</v>
      </c>
      <c r="E139" s="44">
        <v>16.015000000000001</v>
      </c>
      <c r="F139" s="45">
        <v>0</v>
      </c>
      <c r="G139" s="46">
        <v>460</v>
      </c>
      <c r="H139" s="47"/>
    </row>
    <row r="140" spans="1:8" s="48" customFormat="1">
      <c r="A140" s="42" t="s">
        <v>44</v>
      </c>
      <c r="B140" s="43">
        <v>16020000</v>
      </c>
      <c r="C140" s="43">
        <v>16030000</v>
      </c>
      <c r="D140" s="43">
        <v>16025000</v>
      </c>
      <c r="E140" s="44">
        <v>16.024999999999999</v>
      </c>
      <c r="F140" s="45">
        <v>0.44996116000000003</v>
      </c>
      <c r="G140" s="46">
        <v>470</v>
      </c>
      <c r="H140" s="47"/>
    </row>
    <row r="141" spans="1:8" s="48" customFormat="1">
      <c r="A141" s="42" t="s">
        <v>44</v>
      </c>
      <c r="B141" s="43">
        <v>16030000</v>
      </c>
      <c r="C141" s="43">
        <v>16040000</v>
      </c>
      <c r="D141" s="43">
        <v>16035000</v>
      </c>
      <c r="E141" s="44">
        <v>16.035</v>
      </c>
      <c r="F141" s="45">
        <v>0.71213850000000001</v>
      </c>
      <c r="G141" s="46">
        <v>480</v>
      </c>
      <c r="H141" s="47"/>
    </row>
    <row r="142" spans="1:8" s="48" customFormat="1">
      <c r="A142" s="42" t="s">
        <v>44</v>
      </c>
      <c r="B142" s="43">
        <v>16040000</v>
      </c>
      <c r="C142" s="43">
        <v>16050000</v>
      </c>
      <c r="D142" s="43">
        <v>16045000</v>
      </c>
      <c r="E142" s="44">
        <v>16.045000000000002</v>
      </c>
      <c r="F142" s="45">
        <v>0</v>
      </c>
      <c r="G142" s="46">
        <v>490</v>
      </c>
      <c r="H142" s="47"/>
    </row>
    <row r="143" spans="1:8" s="48" customFormat="1">
      <c r="A143" s="42" t="s">
        <v>44</v>
      </c>
      <c r="B143" s="43">
        <v>16050000</v>
      </c>
      <c r="C143" s="43">
        <v>16060000</v>
      </c>
      <c r="D143" s="43">
        <v>16055000</v>
      </c>
      <c r="E143" s="44">
        <v>16.055</v>
      </c>
      <c r="F143" s="45">
        <v>0</v>
      </c>
      <c r="G143" s="46">
        <v>500</v>
      </c>
      <c r="H143" s="47"/>
    </row>
    <row r="144" spans="1:8" s="48" customFormat="1">
      <c r="A144" s="42" t="s">
        <v>44</v>
      </c>
      <c r="B144" s="43">
        <v>16060000</v>
      </c>
      <c r="C144" s="43">
        <v>16070000</v>
      </c>
      <c r="D144" s="43">
        <v>16065000</v>
      </c>
      <c r="E144" s="44">
        <v>16.065000000000001</v>
      </c>
      <c r="F144" s="45">
        <v>1.0306869999999999</v>
      </c>
      <c r="G144" s="46">
        <v>510</v>
      </c>
      <c r="H144" s="47"/>
    </row>
    <row r="145" spans="1:8" s="48" customFormat="1">
      <c r="A145" s="42" t="s">
        <v>44</v>
      </c>
      <c r="B145" s="43">
        <v>16070000</v>
      </c>
      <c r="C145" s="43">
        <v>16080000</v>
      </c>
      <c r="D145" s="43">
        <v>16075000</v>
      </c>
      <c r="E145" s="44">
        <v>16.074999999999999</v>
      </c>
      <c r="F145" s="45">
        <v>0.36089664999999999</v>
      </c>
      <c r="G145" s="46">
        <v>520</v>
      </c>
      <c r="H145" s="47"/>
    </row>
    <row r="146" spans="1:8" s="48" customFormat="1">
      <c r="A146" s="42" t="s">
        <v>44</v>
      </c>
      <c r="B146" s="43">
        <v>16080000</v>
      </c>
      <c r="C146" s="43">
        <v>16090000</v>
      </c>
      <c r="D146" s="43">
        <v>16085000</v>
      </c>
      <c r="E146" s="44">
        <v>16.085000000000001</v>
      </c>
      <c r="F146" s="45">
        <v>0</v>
      </c>
      <c r="G146" s="46">
        <v>530</v>
      </c>
      <c r="H146" s="47"/>
    </row>
    <row r="147" spans="1:8" s="48" customFormat="1">
      <c r="A147" s="42" t="s">
        <v>44</v>
      </c>
      <c r="B147" s="43">
        <v>16090000</v>
      </c>
      <c r="C147" s="43">
        <v>16100000</v>
      </c>
      <c r="D147" s="43">
        <v>16095000</v>
      </c>
      <c r="E147" s="44">
        <v>16.094999999999999</v>
      </c>
      <c r="F147" s="45">
        <v>0.61456569999999999</v>
      </c>
      <c r="G147" s="46">
        <v>540</v>
      </c>
      <c r="H147" s="47"/>
    </row>
    <row r="148" spans="1:8" s="48" customFormat="1">
      <c r="A148" s="57" t="s">
        <v>44</v>
      </c>
      <c r="B148" s="58">
        <v>16100000</v>
      </c>
      <c r="C148" s="58">
        <v>16110000</v>
      </c>
      <c r="D148" s="58">
        <v>16105000</v>
      </c>
      <c r="E148" s="59">
        <v>16.105</v>
      </c>
      <c r="F148" s="60">
        <v>0.40816474000000003</v>
      </c>
      <c r="G148" s="61">
        <v>550</v>
      </c>
      <c r="H148" s="62"/>
    </row>
    <row r="149" spans="1:8" s="32" customFormat="1" hidden="1"/>
    <row r="150" spans="1:8">
      <c r="A150" s="85" t="s">
        <v>85</v>
      </c>
      <c r="B150" s="74"/>
      <c r="C150" s="74"/>
      <c r="D150" s="74"/>
      <c r="E150" s="74"/>
      <c r="F150" s="74"/>
      <c r="G150" s="74"/>
      <c r="H150" s="74"/>
    </row>
    <row r="151" spans="1:8" s="40" customFormat="1">
      <c r="A151" s="81" t="s">
        <v>86</v>
      </c>
      <c r="B151" s="82"/>
      <c r="C151" s="82"/>
      <c r="D151" s="82"/>
      <c r="E151" s="82"/>
      <c r="F151" s="82"/>
      <c r="G151" s="82"/>
      <c r="H151" s="82"/>
    </row>
    <row r="152" spans="1:8" s="40" customFormat="1">
      <c r="A152" s="81" t="s">
        <v>87</v>
      </c>
      <c r="B152" s="82"/>
      <c r="C152" s="82"/>
      <c r="D152" s="82"/>
      <c r="E152" s="82"/>
      <c r="F152" s="82"/>
      <c r="G152" s="82"/>
      <c r="H152" s="82"/>
    </row>
    <row r="153" spans="1:8" s="40" customFormat="1">
      <c r="A153" s="81" t="s">
        <v>88</v>
      </c>
      <c r="B153" s="82"/>
      <c r="C153" s="82"/>
      <c r="D153" s="82"/>
      <c r="E153" s="82"/>
      <c r="F153" s="82"/>
      <c r="G153" s="82"/>
      <c r="H153" s="82"/>
    </row>
    <row r="154" spans="1:8" s="40" customFormat="1">
      <c r="A154" s="81" t="s">
        <v>89</v>
      </c>
      <c r="B154" s="82"/>
      <c r="C154" s="82"/>
      <c r="D154" s="82"/>
      <c r="E154" s="82"/>
      <c r="F154" s="82"/>
      <c r="G154" s="82"/>
      <c r="H154" s="82"/>
    </row>
    <row r="155" spans="1:8" s="40" customFormat="1">
      <c r="A155" s="81" t="s">
        <v>90</v>
      </c>
      <c r="B155" s="82"/>
      <c r="C155" s="82"/>
      <c r="D155" s="82"/>
      <c r="E155" s="82"/>
      <c r="F155" s="82"/>
      <c r="G155" s="82"/>
      <c r="H155" s="82"/>
    </row>
  </sheetData>
  <mergeCells count="20">
    <mergeCell ref="A1:H1"/>
    <mergeCell ref="A6:B6"/>
    <mergeCell ref="A153:H153"/>
    <mergeCell ref="A7:B7"/>
    <mergeCell ref="C8:H8"/>
    <mergeCell ref="A3:B3"/>
    <mergeCell ref="C7:H7"/>
    <mergeCell ref="A155:H155"/>
    <mergeCell ref="A154:H154"/>
    <mergeCell ref="A2:H2"/>
    <mergeCell ref="A5:B5"/>
    <mergeCell ref="A151:H151"/>
    <mergeCell ref="C3:H3"/>
    <mergeCell ref="A150:H150"/>
    <mergeCell ref="A8:B8"/>
    <mergeCell ref="A4:B4"/>
    <mergeCell ref="C6:H6"/>
    <mergeCell ref="C5:H5"/>
    <mergeCell ref="A152:H152"/>
    <mergeCell ref="C4:H4"/>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pane ySplit="3" topLeftCell="A4" activePane="bottomLeft" state="frozen"/>
      <selection pane="bottomLeft" activeCell="K23" sqref="K23"/>
    </sheetView>
  </sheetViews>
  <sheetFormatPr defaultRowHeight="14.4"/>
  <cols>
    <col min="1" max="1" width="10" customWidth="1"/>
    <col min="2" max="4" width="14" customWidth="1"/>
    <col min="5" max="5" width="24" customWidth="1"/>
    <col min="6" max="6" width="12" customWidth="1"/>
  </cols>
  <sheetData>
    <row r="1" spans="1:6" ht="42" customHeight="1">
      <c r="A1" s="104" t="s">
        <v>91</v>
      </c>
      <c r="B1" s="99"/>
      <c r="C1" s="99"/>
      <c r="D1" s="99"/>
      <c r="E1" s="99"/>
      <c r="F1" s="99"/>
    </row>
    <row r="2" spans="1:6" ht="15.6" customHeight="1">
      <c r="A2" s="71"/>
    </row>
    <row r="3" spans="1:6" s="36" customFormat="1">
      <c r="A3" s="41" t="s">
        <v>92</v>
      </c>
      <c r="B3" s="41" t="s">
        <v>93</v>
      </c>
      <c r="C3" s="41" t="s">
        <v>94</v>
      </c>
      <c r="D3" s="41" t="s">
        <v>95</v>
      </c>
      <c r="E3" s="41" t="s">
        <v>96</v>
      </c>
      <c r="F3" s="41" t="s">
        <v>37</v>
      </c>
    </row>
    <row r="4" spans="1:6">
      <c r="A4" s="11" t="s">
        <v>44</v>
      </c>
      <c r="B4" s="12">
        <v>15653622</v>
      </c>
      <c r="C4" s="12">
        <v>15658878</v>
      </c>
      <c r="D4" s="12">
        <v>15656250</v>
      </c>
      <c r="E4" s="11" t="s">
        <v>11</v>
      </c>
      <c r="F4" s="11" t="s">
        <v>8</v>
      </c>
    </row>
    <row r="5" spans="1:6">
      <c r="A5" s="11" t="s">
        <v>44</v>
      </c>
      <c r="B5" s="12">
        <v>15702321</v>
      </c>
      <c r="C5" s="12">
        <v>15703021</v>
      </c>
      <c r="D5" s="12">
        <v>15702671</v>
      </c>
      <c r="E5" s="11" t="s">
        <v>10</v>
      </c>
      <c r="F5" s="11" t="s">
        <v>8</v>
      </c>
    </row>
    <row r="6" spans="1:6">
      <c r="A6" s="11" t="s">
        <v>44</v>
      </c>
      <c r="B6" s="12">
        <v>15641176</v>
      </c>
      <c r="C6" s="12">
        <v>15642295</v>
      </c>
      <c r="D6" s="12">
        <v>15641735</v>
      </c>
      <c r="E6" s="11" t="s">
        <v>7</v>
      </c>
      <c r="F6" s="11" t="s">
        <v>8</v>
      </c>
    </row>
    <row r="7" spans="1:6">
      <c r="A7" s="11" t="s">
        <v>44</v>
      </c>
      <c r="B7" s="12">
        <v>15712795</v>
      </c>
      <c r="C7" s="12">
        <v>15713408</v>
      </c>
      <c r="D7" s="12">
        <v>15713101</v>
      </c>
      <c r="E7" s="11" t="s">
        <v>9</v>
      </c>
      <c r="F7" s="11" t="s">
        <v>8</v>
      </c>
    </row>
    <row r="8" spans="1:6">
      <c r="A8" s="11" t="s">
        <v>44</v>
      </c>
      <c r="B8" s="12">
        <v>15798348</v>
      </c>
      <c r="C8" s="12">
        <v>15798773</v>
      </c>
      <c r="D8" s="12">
        <v>15798560</v>
      </c>
      <c r="E8" s="11" t="s">
        <v>13</v>
      </c>
      <c r="F8" s="11" t="s">
        <v>8</v>
      </c>
    </row>
    <row r="9" spans="1:6">
      <c r="A9" s="11" t="s">
        <v>44</v>
      </c>
      <c r="B9" s="12">
        <v>15750053</v>
      </c>
      <c r="C9" s="12">
        <v>15750743</v>
      </c>
      <c r="D9" s="12">
        <v>15750398</v>
      </c>
      <c r="E9" s="11" t="s">
        <v>12</v>
      </c>
      <c r="F9" s="11" t="s">
        <v>8</v>
      </c>
    </row>
    <row r="10" spans="1:6">
      <c r="A10" s="11" t="s">
        <v>44</v>
      </c>
      <c r="B10" s="12">
        <v>15526372</v>
      </c>
      <c r="C10" s="12">
        <v>15527888</v>
      </c>
      <c r="D10" s="12">
        <v>15527130</v>
      </c>
      <c r="E10" s="11" t="s">
        <v>21</v>
      </c>
      <c r="F10" s="11" t="s">
        <v>15</v>
      </c>
    </row>
    <row r="11" spans="1:6">
      <c r="A11" s="11" t="s">
        <v>44</v>
      </c>
      <c r="B11" s="12">
        <v>15263527</v>
      </c>
      <c r="C11" s="12">
        <v>15268715</v>
      </c>
      <c r="D11" s="12">
        <v>15266121</v>
      </c>
      <c r="E11" s="11" t="s">
        <v>19</v>
      </c>
      <c r="F11" s="11" t="s">
        <v>15</v>
      </c>
    </row>
    <row r="12" spans="1:6">
      <c r="A12" s="11" t="s">
        <v>44</v>
      </c>
      <c r="B12" s="12">
        <v>15525717</v>
      </c>
      <c r="C12" s="12">
        <v>15530984</v>
      </c>
      <c r="D12" s="12">
        <v>15528350</v>
      </c>
      <c r="E12" s="11" t="s">
        <v>20</v>
      </c>
      <c r="F12" s="11" t="s">
        <v>15</v>
      </c>
    </row>
    <row r="13" spans="1:6">
      <c r="A13" s="11" t="s">
        <v>44</v>
      </c>
      <c r="B13" s="12">
        <v>15538380</v>
      </c>
      <c r="C13" s="12">
        <v>15543779</v>
      </c>
      <c r="D13" s="12">
        <v>15541079</v>
      </c>
      <c r="E13" s="11" t="s">
        <v>14</v>
      </c>
      <c r="F13" s="11" t="s">
        <v>15</v>
      </c>
    </row>
    <row r="14" spans="1:6">
      <c r="A14" s="11" t="s">
        <v>44</v>
      </c>
      <c r="B14" s="12">
        <v>14811027</v>
      </c>
      <c r="C14" s="12">
        <v>14816277</v>
      </c>
      <c r="D14" s="12">
        <v>14813652</v>
      </c>
      <c r="E14" s="11" t="s">
        <v>17</v>
      </c>
      <c r="F14" s="11" t="s">
        <v>15</v>
      </c>
    </row>
    <row r="15" spans="1:6">
      <c r="A15" s="11" t="s">
        <v>44</v>
      </c>
      <c r="B15" s="12">
        <v>15313567</v>
      </c>
      <c r="C15" s="12">
        <v>15319187</v>
      </c>
      <c r="D15" s="12">
        <v>15316377</v>
      </c>
      <c r="E15" s="11" t="s">
        <v>16</v>
      </c>
      <c r="F15" s="11" t="s">
        <v>15</v>
      </c>
    </row>
    <row r="16" spans="1:6">
      <c r="A16" s="14" t="s">
        <v>44</v>
      </c>
      <c r="B16" s="15">
        <v>14932944</v>
      </c>
      <c r="C16" s="15">
        <v>14938401</v>
      </c>
      <c r="D16" s="15">
        <v>14935672</v>
      </c>
      <c r="E16" s="14" t="s">
        <v>18</v>
      </c>
      <c r="F16" s="14" t="s">
        <v>15</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showGridLines="0" workbookViewId="0">
      <pane ySplit="4" topLeftCell="A12" activePane="bottomLeft" state="frozen"/>
      <selection pane="bottomLeft" activeCell="K24" sqref="K24"/>
    </sheetView>
  </sheetViews>
  <sheetFormatPr defaultRowHeight="14.4"/>
  <cols>
    <col min="1" max="1" width="36.88671875" customWidth="1"/>
    <col min="2" max="2" width="11" customWidth="1"/>
    <col min="3" max="4" width="14" customWidth="1"/>
    <col min="5" max="5" width="12" customWidth="1"/>
    <col min="6" max="8" width="16" customWidth="1"/>
  </cols>
  <sheetData>
    <row r="1" spans="1:8" ht="24" customHeight="1">
      <c r="A1" s="107" t="s">
        <v>97</v>
      </c>
      <c r="B1" s="99"/>
      <c r="C1" s="99"/>
      <c r="D1" s="99"/>
      <c r="E1" s="99"/>
      <c r="F1" s="99"/>
      <c r="G1" s="99"/>
      <c r="H1" s="99"/>
    </row>
    <row r="2" spans="1:8" ht="11.4" customHeight="1">
      <c r="A2" s="87" t="s">
        <v>98</v>
      </c>
      <c r="B2" s="74"/>
      <c r="C2" s="74"/>
      <c r="D2" s="74"/>
      <c r="E2" s="74"/>
      <c r="F2" s="74"/>
      <c r="G2" s="74"/>
      <c r="H2" s="74"/>
    </row>
    <row r="3" spans="1:8" ht="21.6" customHeight="1">
      <c r="A3" s="87" t="s">
        <v>99</v>
      </c>
      <c r="B3" s="74"/>
      <c r="C3" s="74"/>
      <c r="D3" s="74"/>
      <c r="E3" s="74"/>
      <c r="F3" s="74"/>
      <c r="G3" s="74"/>
      <c r="H3" s="74"/>
    </row>
    <row r="4" spans="1:8" s="69" customFormat="1" ht="30" customHeight="1">
      <c r="A4" s="68" t="s">
        <v>100</v>
      </c>
      <c r="B4" s="68" t="s">
        <v>101</v>
      </c>
      <c r="C4" s="68" t="s">
        <v>102</v>
      </c>
      <c r="D4" s="68" t="s">
        <v>103</v>
      </c>
      <c r="E4" s="68" t="s">
        <v>104</v>
      </c>
      <c r="F4" s="68" t="s">
        <v>105</v>
      </c>
      <c r="G4" s="68" t="s">
        <v>106</v>
      </c>
      <c r="H4" s="68" t="s">
        <v>107</v>
      </c>
    </row>
    <row r="5" spans="1:8" s="67" customFormat="1" ht="18" customHeight="1">
      <c r="A5" s="64" t="s">
        <v>17</v>
      </c>
      <c r="B5" s="64" t="s">
        <v>44</v>
      </c>
      <c r="C5" s="65">
        <v>14718760</v>
      </c>
      <c r="D5" s="65">
        <v>14724010</v>
      </c>
      <c r="E5" s="65">
        <f t="shared" ref="E5:E17" si="0">D5-C5</f>
        <v>5250</v>
      </c>
      <c r="F5" s="66">
        <v>0.41666700000000001</v>
      </c>
      <c r="G5" s="66">
        <v>0.25</v>
      </c>
      <c r="H5" s="66">
        <v>0.58333299999999999</v>
      </c>
    </row>
    <row r="6" spans="1:8" s="1" customFormat="1" ht="18" customHeight="1">
      <c r="A6" s="52" t="s">
        <v>18</v>
      </c>
      <c r="B6" s="52" t="s">
        <v>44</v>
      </c>
      <c r="C6" s="53">
        <v>14840677</v>
      </c>
      <c r="D6" s="53">
        <v>14846134</v>
      </c>
      <c r="E6" s="53">
        <f t="shared" si="0"/>
        <v>5457</v>
      </c>
      <c r="F6" s="54">
        <v>0.33333299999999999</v>
      </c>
      <c r="G6" s="54">
        <v>0.16666700000000001</v>
      </c>
      <c r="H6" s="54">
        <v>0.83333299999999999</v>
      </c>
    </row>
    <row r="7" spans="1:8" s="1" customFormat="1" ht="18" customHeight="1">
      <c r="A7" s="52" t="s">
        <v>19</v>
      </c>
      <c r="B7" s="52" t="s">
        <v>44</v>
      </c>
      <c r="C7" s="53">
        <v>15171260</v>
      </c>
      <c r="D7" s="53">
        <v>15176448</v>
      </c>
      <c r="E7" s="53">
        <f t="shared" si="0"/>
        <v>5188</v>
      </c>
      <c r="F7" s="54">
        <v>0.5</v>
      </c>
      <c r="G7" s="54">
        <v>0.375</v>
      </c>
      <c r="H7" s="54">
        <v>0.41666700000000001</v>
      </c>
    </row>
    <row r="8" spans="1:8" s="1" customFormat="1" ht="18" customHeight="1">
      <c r="A8" s="52" t="s">
        <v>16</v>
      </c>
      <c r="B8" s="52" t="s">
        <v>44</v>
      </c>
      <c r="C8" s="53">
        <v>15221300</v>
      </c>
      <c r="D8" s="53">
        <v>15226920</v>
      </c>
      <c r="E8" s="53">
        <f t="shared" si="0"/>
        <v>5620</v>
      </c>
      <c r="F8" s="54">
        <v>0.75</v>
      </c>
      <c r="G8" s="54">
        <v>0.375</v>
      </c>
      <c r="H8" s="54">
        <v>0.58333299999999999</v>
      </c>
    </row>
    <row r="9" spans="1:8" s="1" customFormat="1" ht="18" customHeight="1">
      <c r="A9" s="52" t="s">
        <v>20</v>
      </c>
      <c r="B9" s="52" t="s">
        <v>44</v>
      </c>
      <c r="C9" s="53">
        <v>15433884</v>
      </c>
      <c r="D9" s="53">
        <v>15439151</v>
      </c>
      <c r="E9" s="53">
        <f t="shared" si="0"/>
        <v>5267</v>
      </c>
      <c r="F9" s="54">
        <v>8.3333000000000004E-2</v>
      </c>
      <c r="G9" s="54">
        <v>8.3333000000000004E-2</v>
      </c>
      <c r="H9" s="54">
        <v>0.25</v>
      </c>
    </row>
    <row r="10" spans="1:8" s="1" customFormat="1" ht="18" customHeight="1">
      <c r="A10" s="52" t="s">
        <v>21</v>
      </c>
      <c r="B10" s="52" t="s">
        <v>44</v>
      </c>
      <c r="C10" s="53">
        <v>15434539</v>
      </c>
      <c r="D10" s="53">
        <v>15436055</v>
      </c>
      <c r="E10" s="53">
        <f t="shared" si="0"/>
        <v>1516</v>
      </c>
      <c r="F10" s="54">
        <v>8.3333000000000004E-2</v>
      </c>
      <c r="G10" s="54">
        <v>0</v>
      </c>
      <c r="H10" s="54">
        <v>0.125</v>
      </c>
    </row>
    <row r="11" spans="1:8" s="1" customFormat="1" ht="18" customHeight="1">
      <c r="A11" s="52" t="s">
        <v>14</v>
      </c>
      <c r="B11" s="52" t="s">
        <v>44</v>
      </c>
      <c r="C11" s="53">
        <v>15446547</v>
      </c>
      <c r="D11" s="53">
        <v>15451946</v>
      </c>
      <c r="E11" s="53">
        <f t="shared" si="0"/>
        <v>5399</v>
      </c>
      <c r="F11" s="54">
        <v>0.58333299999999999</v>
      </c>
      <c r="G11" s="54">
        <v>0.5</v>
      </c>
      <c r="H11" s="54">
        <v>0.41666700000000001</v>
      </c>
    </row>
    <row r="12" spans="1:8" s="1" customFormat="1" ht="18" customHeight="1">
      <c r="A12" s="52" t="s">
        <v>7</v>
      </c>
      <c r="B12" s="52" t="s">
        <v>44</v>
      </c>
      <c r="C12" s="53">
        <v>15549343</v>
      </c>
      <c r="D12" s="53">
        <v>15550462</v>
      </c>
      <c r="E12" s="53">
        <f t="shared" si="0"/>
        <v>1119</v>
      </c>
      <c r="F12" s="54">
        <v>0.83333299999999999</v>
      </c>
      <c r="G12" s="54">
        <v>1</v>
      </c>
      <c r="H12" s="54">
        <v>0.95833299999999999</v>
      </c>
    </row>
    <row r="13" spans="1:8" s="1" customFormat="1" ht="18" customHeight="1">
      <c r="A13" s="52" t="s">
        <v>11</v>
      </c>
      <c r="B13" s="52" t="s">
        <v>44</v>
      </c>
      <c r="C13" s="53">
        <v>15561789</v>
      </c>
      <c r="D13" s="53">
        <v>15567045</v>
      </c>
      <c r="E13" s="53">
        <f t="shared" si="0"/>
        <v>5256</v>
      </c>
      <c r="F13" s="54">
        <v>0.66666700000000001</v>
      </c>
      <c r="G13" s="54">
        <v>0.75</v>
      </c>
      <c r="H13" s="54">
        <v>0.75</v>
      </c>
    </row>
    <row r="14" spans="1:8" s="1" customFormat="1" ht="18" customHeight="1">
      <c r="A14" s="52" t="s">
        <v>10</v>
      </c>
      <c r="B14" s="52" t="s">
        <v>44</v>
      </c>
      <c r="C14" s="53">
        <v>15610488</v>
      </c>
      <c r="D14" s="53">
        <v>15611188</v>
      </c>
      <c r="E14" s="53">
        <f t="shared" si="0"/>
        <v>700</v>
      </c>
      <c r="F14" s="54">
        <v>1</v>
      </c>
      <c r="G14" s="54">
        <v>0.91666700000000001</v>
      </c>
      <c r="H14" s="54">
        <v>0.79166700000000001</v>
      </c>
    </row>
    <row r="15" spans="1:8" s="1" customFormat="1" ht="18" customHeight="1">
      <c r="A15" s="52" t="s">
        <v>9</v>
      </c>
      <c r="B15" s="52" t="s">
        <v>44</v>
      </c>
      <c r="C15" s="53">
        <v>15620962</v>
      </c>
      <c r="D15" s="53">
        <v>15621575</v>
      </c>
      <c r="E15" s="53">
        <f t="shared" si="0"/>
        <v>613</v>
      </c>
      <c r="F15" s="54">
        <v>0.25</v>
      </c>
      <c r="G15" s="54">
        <v>0.83333299999999999</v>
      </c>
      <c r="H15" s="54">
        <v>2.0833000000000001E-2</v>
      </c>
    </row>
    <row r="16" spans="1:8" s="1" customFormat="1" ht="18" customHeight="1">
      <c r="A16" s="52" t="s">
        <v>12</v>
      </c>
      <c r="B16" s="52" t="s">
        <v>44</v>
      </c>
      <c r="C16" s="53">
        <v>15658220</v>
      </c>
      <c r="D16" s="53">
        <v>15658910</v>
      </c>
      <c r="E16" s="53">
        <f t="shared" si="0"/>
        <v>690</v>
      </c>
      <c r="F16" s="54">
        <v>8.3333000000000004E-2</v>
      </c>
      <c r="G16" s="54">
        <v>0.625</v>
      </c>
      <c r="H16" s="54">
        <v>0.25</v>
      </c>
    </row>
    <row r="17" spans="1:8" s="1" customFormat="1" ht="18" customHeight="1">
      <c r="A17" s="52" t="s">
        <v>13</v>
      </c>
      <c r="B17" s="52" t="s">
        <v>44</v>
      </c>
      <c r="C17" s="53">
        <v>15706515</v>
      </c>
      <c r="D17" s="53">
        <v>15706940</v>
      </c>
      <c r="E17" s="53">
        <f t="shared" si="0"/>
        <v>425</v>
      </c>
      <c r="F17" s="54">
        <v>0.91666700000000001</v>
      </c>
      <c r="G17" s="54">
        <v>0.625</v>
      </c>
      <c r="H17" s="54">
        <v>0.52083299999999999</v>
      </c>
    </row>
    <row r="18" spans="1:8" hidden="1">
      <c r="A18" s="51"/>
      <c r="B18" s="51"/>
      <c r="C18" s="51"/>
      <c r="D18" s="51"/>
      <c r="E18" s="51"/>
      <c r="F18" s="51"/>
      <c r="G18" s="51"/>
      <c r="H18" s="51"/>
    </row>
    <row r="19" spans="1:8" ht="18" customHeight="1">
      <c r="A19" s="105" t="s">
        <v>55</v>
      </c>
      <c r="B19" s="106"/>
      <c r="C19" s="106"/>
      <c r="D19" s="106"/>
      <c r="E19" s="106"/>
      <c r="F19" s="106"/>
      <c r="G19" s="106"/>
      <c r="H19" s="106"/>
    </row>
    <row r="20" spans="1:8" ht="30" customHeight="1">
      <c r="A20" s="90" t="s">
        <v>108</v>
      </c>
      <c r="B20" s="91"/>
      <c r="C20" s="91"/>
      <c r="D20" s="91"/>
      <c r="E20" s="91"/>
      <c r="F20" s="91"/>
      <c r="G20" s="91"/>
      <c r="H20" s="91"/>
    </row>
    <row r="21" spans="1:8" ht="28.8" customHeight="1">
      <c r="A21" s="90" t="s">
        <v>109</v>
      </c>
      <c r="B21" s="91"/>
      <c r="C21" s="91"/>
      <c r="D21" s="91"/>
      <c r="E21" s="91"/>
      <c r="F21" s="91"/>
      <c r="G21" s="91"/>
      <c r="H21" s="91"/>
    </row>
    <row r="22" spans="1:8" ht="30.6" customHeight="1">
      <c r="A22" s="90" t="s">
        <v>110</v>
      </c>
      <c r="B22" s="91"/>
      <c r="C22" s="91"/>
      <c r="D22" s="91"/>
      <c r="E22" s="91"/>
      <c r="F22" s="91"/>
      <c r="G22" s="91"/>
      <c r="H22" s="91"/>
    </row>
    <row r="23" spans="1:8" ht="40.799999999999997" customHeight="1">
      <c r="A23" s="90" t="s">
        <v>111</v>
      </c>
      <c r="B23" s="91"/>
      <c r="C23" s="91"/>
      <c r="D23" s="91"/>
      <c r="E23" s="91"/>
      <c r="F23" s="91"/>
      <c r="G23" s="91"/>
      <c r="H23" s="91"/>
    </row>
    <row r="24" spans="1:8" ht="30" customHeight="1">
      <c r="A24" s="90" t="s">
        <v>112</v>
      </c>
      <c r="B24" s="91"/>
      <c r="C24" s="91"/>
      <c r="D24" s="91"/>
      <c r="E24" s="91"/>
      <c r="F24" s="91"/>
      <c r="G24" s="91"/>
      <c r="H24" s="91"/>
    </row>
    <row r="25" spans="1:8" ht="44.4" customHeight="1">
      <c r="A25" s="90" t="s">
        <v>113</v>
      </c>
      <c r="B25" s="91"/>
      <c r="C25" s="91"/>
      <c r="D25" s="91"/>
      <c r="E25" s="91"/>
      <c r="F25" s="91"/>
      <c r="G25" s="91"/>
      <c r="H25" s="91"/>
    </row>
  </sheetData>
  <mergeCells count="10">
    <mergeCell ref="A25:H25"/>
    <mergeCell ref="A20:H20"/>
    <mergeCell ref="A24:H24"/>
    <mergeCell ref="A2:H2"/>
    <mergeCell ref="A19:H19"/>
    <mergeCell ref="A1:H1"/>
    <mergeCell ref="A23:H23"/>
    <mergeCell ref="A22:H22"/>
    <mergeCell ref="A3:H3"/>
    <mergeCell ref="A21:H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2"/>
  <sheetViews>
    <sheetView workbookViewId="0">
      <pane ySplit="4" topLeftCell="A47" activePane="bottomLeft" state="frozen"/>
      <selection pane="bottomLeft" activeCell="C63" sqref="C63"/>
    </sheetView>
  </sheetViews>
  <sheetFormatPr defaultRowHeight="14.4"/>
  <cols>
    <col min="1" max="1" width="23.5546875" customWidth="1"/>
    <col min="2" max="2" width="90" customWidth="1"/>
    <col min="3" max="3" width="42" customWidth="1"/>
    <col min="4" max="4" width="10" customWidth="1"/>
    <col min="5" max="6" width="14" customWidth="1"/>
    <col min="7" max="7" width="12" customWidth="1"/>
    <col min="8" max="9" width="14" customWidth="1"/>
    <col min="10" max="11" width="16" customWidth="1"/>
    <col min="12" max="12" width="20.6640625" customWidth="1"/>
    <col min="13" max="16" width="16" customWidth="1"/>
    <col min="17" max="17" width="19.77734375" customWidth="1"/>
    <col min="18" max="18" width="16" customWidth="1"/>
    <col min="19" max="19" width="19.44140625" customWidth="1"/>
    <col min="20" max="20" width="18.33203125" customWidth="1"/>
    <col min="21" max="21" width="29.77734375" customWidth="1"/>
    <col min="22" max="22" width="36.44140625" customWidth="1"/>
  </cols>
  <sheetData>
    <row r="1" spans="1:22" s="49" customFormat="1" ht="25.8" customHeight="1">
      <c r="A1" s="108" t="s">
        <v>114</v>
      </c>
      <c r="B1" s="108"/>
      <c r="C1" s="108"/>
      <c r="D1" s="108"/>
      <c r="E1" s="108"/>
      <c r="F1" s="108"/>
      <c r="G1" s="108"/>
      <c r="H1" s="108"/>
      <c r="I1" s="108"/>
      <c r="J1" s="108"/>
      <c r="K1" s="108"/>
      <c r="L1" s="108"/>
      <c r="M1" s="108"/>
      <c r="N1" s="108"/>
      <c r="O1" s="108"/>
      <c r="P1" s="108"/>
      <c r="Q1" s="108"/>
      <c r="R1" s="108"/>
      <c r="S1" s="108"/>
      <c r="T1" s="108"/>
      <c r="U1" s="108"/>
      <c r="V1" s="108"/>
    </row>
    <row r="2" spans="1:22" s="1" customFormat="1" hidden="1"/>
    <row r="3" spans="1:22" s="1" customFormat="1"/>
    <row r="4" spans="1:22" s="36" customFormat="1" ht="28.2" customHeight="1">
      <c r="A4" s="41" t="s">
        <v>96</v>
      </c>
      <c r="B4" s="41" t="s">
        <v>115</v>
      </c>
      <c r="C4" s="41" t="s">
        <v>116</v>
      </c>
      <c r="D4" s="41" t="s">
        <v>33</v>
      </c>
      <c r="E4" s="41" t="s">
        <v>117</v>
      </c>
      <c r="F4" s="41" t="s">
        <v>118</v>
      </c>
      <c r="G4" s="41" t="s">
        <v>119</v>
      </c>
      <c r="H4" s="41" t="s">
        <v>93</v>
      </c>
      <c r="I4" s="41" t="s">
        <v>94</v>
      </c>
      <c r="J4" s="41" t="s">
        <v>120</v>
      </c>
      <c r="K4" s="41" t="s">
        <v>121</v>
      </c>
      <c r="L4" s="41" t="s">
        <v>122</v>
      </c>
      <c r="M4" s="41" t="s">
        <v>123</v>
      </c>
      <c r="N4" s="41" t="s">
        <v>124</v>
      </c>
      <c r="O4" s="41" t="s">
        <v>125</v>
      </c>
      <c r="P4" s="41" t="s">
        <v>126</v>
      </c>
      <c r="Q4" s="41" t="s">
        <v>127</v>
      </c>
      <c r="R4" s="41" t="s">
        <v>128</v>
      </c>
      <c r="S4" s="41" t="s">
        <v>129</v>
      </c>
      <c r="T4" s="41" t="s">
        <v>130</v>
      </c>
      <c r="U4" s="41" t="s">
        <v>131</v>
      </c>
      <c r="V4" s="92" t="s">
        <v>275</v>
      </c>
    </row>
    <row r="5" spans="1:22" s="1" customFormat="1">
      <c r="A5" s="13" t="s">
        <v>132</v>
      </c>
      <c r="B5" s="20" t="s">
        <v>133</v>
      </c>
      <c r="C5" s="13" t="s">
        <v>134</v>
      </c>
      <c r="D5" s="13" t="s">
        <v>44</v>
      </c>
      <c r="E5" s="21">
        <v>14669877</v>
      </c>
      <c r="F5" s="21">
        <v>14675087</v>
      </c>
      <c r="G5" s="13" t="s">
        <v>44</v>
      </c>
      <c r="H5" s="21">
        <v>14762144</v>
      </c>
      <c r="I5" s="21">
        <v>14767354</v>
      </c>
      <c r="J5" s="22">
        <v>6.5540000000000003</v>
      </c>
      <c r="K5" s="22">
        <v>4.7939999999999996</v>
      </c>
      <c r="L5" s="22">
        <v>11.348000000000001</v>
      </c>
      <c r="M5" s="22">
        <v>-1.2E-2</v>
      </c>
      <c r="N5" s="22">
        <v>0.18099999999999999</v>
      </c>
      <c r="O5" s="22">
        <v>0.161</v>
      </c>
      <c r="P5" s="22">
        <v>0.01</v>
      </c>
      <c r="Q5" s="22">
        <v>1.575</v>
      </c>
      <c r="R5" s="22">
        <v>0.498</v>
      </c>
      <c r="S5" s="22">
        <v>1.8140000000000001</v>
      </c>
      <c r="T5" s="22">
        <v>1.423</v>
      </c>
      <c r="U5" s="22">
        <v>1.6180000000000001</v>
      </c>
      <c r="V5" s="22">
        <v>0.34100000000000003</v>
      </c>
    </row>
    <row r="6" spans="1:22" s="1" customFormat="1">
      <c r="A6" s="23" t="s">
        <v>17</v>
      </c>
      <c r="B6" s="24" t="s">
        <v>135</v>
      </c>
      <c r="C6" s="23" t="s">
        <v>136</v>
      </c>
      <c r="D6" s="23" t="s">
        <v>44</v>
      </c>
      <c r="E6" s="25">
        <v>14718760</v>
      </c>
      <c r="F6" s="25">
        <v>14724010</v>
      </c>
      <c r="G6" s="23" t="s">
        <v>44</v>
      </c>
      <c r="H6" s="25">
        <v>14811027</v>
      </c>
      <c r="I6" s="25">
        <v>14816277</v>
      </c>
      <c r="J6" s="26">
        <v>1.4490000000000001</v>
      </c>
      <c r="K6" s="26">
        <v>1.83</v>
      </c>
      <c r="L6" s="26">
        <v>3.2789999999999999</v>
      </c>
      <c r="M6" s="26">
        <v>-8.9999999999999993E-3</v>
      </c>
      <c r="N6" s="26">
        <v>9.8000000000000004E-2</v>
      </c>
      <c r="O6" s="26">
        <v>5.3999999999999999E-2</v>
      </c>
      <c r="P6" s="26">
        <v>2.9000000000000001E-2</v>
      </c>
      <c r="Q6" s="26">
        <v>1.3129999999999999</v>
      </c>
      <c r="R6" s="26">
        <v>0.114</v>
      </c>
      <c r="S6" s="26">
        <v>0.84299999999999997</v>
      </c>
      <c r="T6" s="26">
        <v>0.72</v>
      </c>
      <c r="U6" s="26">
        <v>0.78200000000000003</v>
      </c>
      <c r="V6" s="26">
        <v>0.152</v>
      </c>
    </row>
    <row r="7" spans="1:22" s="1" customFormat="1">
      <c r="A7" s="13" t="s">
        <v>137</v>
      </c>
      <c r="B7" s="20" t="s">
        <v>133</v>
      </c>
      <c r="C7" s="13" t="s">
        <v>138</v>
      </c>
      <c r="D7" s="13" t="s">
        <v>44</v>
      </c>
      <c r="E7" s="21">
        <v>14753428</v>
      </c>
      <c r="F7" s="21">
        <v>14758692</v>
      </c>
      <c r="G7" s="13" t="s">
        <v>44</v>
      </c>
      <c r="H7" s="21">
        <v>14845695</v>
      </c>
      <c r="I7" s="21">
        <v>14850959</v>
      </c>
      <c r="J7" s="22">
        <v>1.0660000000000001</v>
      </c>
      <c r="K7" s="22">
        <v>2.2690000000000001</v>
      </c>
      <c r="L7" s="22">
        <v>3.335</v>
      </c>
      <c r="M7" s="22">
        <v>-1.6E-2</v>
      </c>
      <c r="N7" s="22">
        <v>9.4E-2</v>
      </c>
      <c r="O7" s="22">
        <v>7.5999999999999998E-2</v>
      </c>
      <c r="P7" s="22">
        <v>2.3E-2</v>
      </c>
      <c r="Q7" s="22">
        <v>3.7389999999999999</v>
      </c>
      <c r="R7" s="22">
        <v>0</v>
      </c>
      <c r="S7" s="22">
        <v>1.212</v>
      </c>
      <c r="T7" s="22">
        <v>0.94799999999999995</v>
      </c>
      <c r="U7" s="22">
        <v>1.08</v>
      </c>
      <c r="V7" s="22">
        <v>0.17</v>
      </c>
    </row>
    <row r="8" spans="1:22" s="1" customFormat="1">
      <c r="A8" s="23" t="s">
        <v>139</v>
      </c>
      <c r="B8" s="20" t="s">
        <v>133</v>
      </c>
      <c r="C8" s="23" t="s">
        <v>140</v>
      </c>
      <c r="D8" s="23" t="s">
        <v>44</v>
      </c>
      <c r="E8" s="25">
        <v>14787659</v>
      </c>
      <c r="F8" s="25">
        <v>14793048</v>
      </c>
      <c r="G8" s="23" t="s">
        <v>44</v>
      </c>
      <c r="H8" s="25">
        <v>14879926</v>
      </c>
      <c r="I8" s="25">
        <v>14885315</v>
      </c>
      <c r="J8" s="26">
        <v>2.0489999999999999</v>
      </c>
      <c r="K8" s="26">
        <v>2.532</v>
      </c>
      <c r="L8" s="26">
        <v>4.5810000000000004</v>
      </c>
      <c r="M8" s="26">
        <v>-8.9999999999999993E-3</v>
      </c>
      <c r="N8" s="26">
        <v>7.1999999999999995E-2</v>
      </c>
      <c r="O8" s="26">
        <v>0.06</v>
      </c>
      <c r="P8" s="26">
        <v>0.01</v>
      </c>
      <c r="Q8" s="26">
        <v>1.48</v>
      </c>
      <c r="R8" s="26">
        <v>0</v>
      </c>
      <c r="S8" s="26">
        <v>1.018</v>
      </c>
      <c r="T8" s="26">
        <v>0.752</v>
      </c>
      <c r="U8" s="26">
        <v>0.88500000000000001</v>
      </c>
      <c r="V8" s="26">
        <v>0.13200000000000001</v>
      </c>
    </row>
    <row r="9" spans="1:22" s="1" customFormat="1">
      <c r="A9" s="13" t="s">
        <v>141</v>
      </c>
      <c r="B9" s="20" t="s">
        <v>133</v>
      </c>
      <c r="C9" s="13" t="s">
        <v>140</v>
      </c>
      <c r="D9" s="13" t="s">
        <v>44</v>
      </c>
      <c r="E9" s="21">
        <v>14789978</v>
      </c>
      <c r="F9" s="21">
        <v>14790458</v>
      </c>
      <c r="G9" s="13" t="s">
        <v>44</v>
      </c>
      <c r="H9" s="21">
        <v>14882245</v>
      </c>
      <c r="I9" s="21">
        <v>14882725</v>
      </c>
      <c r="J9" s="22">
        <v>2.1269999999999998</v>
      </c>
      <c r="K9" s="22">
        <v>3.6789999999999998</v>
      </c>
      <c r="L9" s="22">
        <v>5.806</v>
      </c>
      <c r="M9" s="22">
        <v>-4.2000000000000003E-2</v>
      </c>
      <c r="N9" s="22">
        <v>0.13500000000000001</v>
      </c>
      <c r="O9" s="22">
        <v>0.151</v>
      </c>
      <c r="P9" s="22">
        <v>0</v>
      </c>
      <c r="Q9" s="22">
        <v>0</v>
      </c>
      <c r="R9" s="22">
        <v>0</v>
      </c>
      <c r="S9" s="22">
        <v>0.95799999999999996</v>
      </c>
      <c r="T9" s="22">
        <v>1.552</v>
      </c>
      <c r="U9" s="22">
        <v>1.2549999999999999</v>
      </c>
      <c r="V9" s="22">
        <v>0.28499999999999998</v>
      </c>
    </row>
    <row r="10" spans="1:22" s="1" customFormat="1">
      <c r="A10" s="23" t="s">
        <v>142</v>
      </c>
      <c r="B10" s="20" t="s">
        <v>133</v>
      </c>
      <c r="C10" s="23" t="s">
        <v>143</v>
      </c>
      <c r="D10" s="23" t="s">
        <v>44</v>
      </c>
      <c r="E10" s="25">
        <v>14800504</v>
      </c>
      <c r="F10" s="25">
        <v>14801224</v>
      </c>
      <c r="G10" s="23" t="s">
        <v>44</v>
      </c>
      <c r="H10" s="25">
        <v>14892771</v>
      </c>
      <c r="I10" s="25">
        <v>14893491</v>
      </c>
      <c r="J10" s="26">
        <v>3.4350000000000001</v>
      </c>
      <c r="K10" s="26">
        <v>3.597</v>
      </c>
      <c r="L10" s="26">
        <v>7.032</v>
      </c>
      <c r="M10" s="26">
        <v>-0.05</v>
      </c>
      <c r="N10" s="26">
        <v>0.19</v>
      </c>
      <c r="O10" s="26">
        <v>0.17299999999999999</v>
      </c>
      <c r="P10" s="26">
        <v>4.8000000000000001E-2</v>
      </c>
      <c r="Q10" s="26">
        <v>0</v>
      </c>
      <c r="R10" s="26">
        <v>0</v>
      </c>
      <c r="S10" s="26">
        <v>1.4279999999999999</v>
      </c>
      <c r="T10" s="26">
        <v>0.97099999999999997</v>
      </c>
      <c r="U10" s="26">
        <v>1.1990000000000001</v>
      </c>
      <c r="V10" s="26">
        <v>0.36299999999999999</v>
      </c>
    </row>
    <row r="11" spans="1:22" s="1" customFormat="1">
      <c r="A11" s="13" t="s">
        <v>18</v>
      </c>
      <c r="B11" s="24" t="s">
        <v>135</v>
      </c>
      <c r="C11" s="13" t="s">
        <v>136</v>
      </c>
      <c r="D11" s="13" t="s">
        <v>44</v>
      </c>
      <c r="E11" s="21">
        <v>14840677</v>
      </c>
      <c r="F11" s="21">
        <v>14846134</v>
      </c>
      <c r="G11" s="13" t="s">
        <v>44</v>
      </c>
      <c r="H11" s="21">
        <v>14932944</v>
      </c>
      <c r="I11" s="21">
        <v>14938401</v>
      </c>
      <c r="J11" s="22">
        <v>3.141</v>
      </c>
      <c r="K11" s="22">
        <v>4.0209999999999999</v>
      </c>
      <c r="L11" s="22">
        <v>7.1619999999999999</v>
      </c>
      <c r="M11" s="22">
        <v>-1.2E-2</v>
      </c>
      <c r="N11" s="22">
        <v>9.1999999999999998E-2</v>
      </c>
      <c r="O11" s="22">
        <v>0.123</v>
      </c>
      <c r="P11" s="22">
        <v>2.3E-2</v>
      </c>
      <c r="Q11" s="22">
        <v>3.8170000000000002</v>
      </c>
      <c r="R11" s="22">
        <v>0.11</v>
      </c>
      <c r="S11" s="22">
        <v>0.55100000000000005</v>
      </c>
      <c r="T11" s="22">
        <v>0.53600000000000003</v>
      </c>
      <c r="U11" s="22">
        <v>0.54400000000000004</v>
      </c>
      <c r="V11" s="22">
        <v>0.215</v>
      </c>
    </row>
    <row r="12" spans="1:22" s="1" customFormat="1">
      <c r="A12" s="23" t="s">
        <v>144</v>
      </c>
      <c r="B12" s="20" t="s">
        <v>133</v>
      </c>
      <c r="C12" s="23" t="s">
        <v>145</v>
      </c>
      <c r="D12" s="23" t="s">
        <v>44</v>
      </c>
      <c r="E12" s="25">
        <v>14875948</v>
      </c>
      <c r="F12" s="25">
        <v>14881117</v>
      </c>
      <c r="G12" s="23" t="s">
        <v>44</v>
      </c>
      <c r="H12" s="25">
        <v>14968215</v>
      </c>
      <c r="I12" s="25">
        <v>14973384</v>
      </c>
      <c r="J12" s="26">
        <v>0.94199999999999995</v>
      </c>
      <c r="K12" s="26">
        <v>3.0310000000000001</v>
      </c>
      <c r="L12" s="26">
        <v>3.972</v>
      </c>
      <c r="M12" s="26">
        <v>-8.0000000000000002E-3</v>
      </c>
      <c r="N12" s="26">
        <v>0.109</v>
      </c>
      <c r="O12" s="26">
        <v>7.9000000000000001E-2</v>
      </c>
      <c r="P12" s="26">
        <v>5.0999999999999997E-2</v>
      </c>
      <c r="Q12" s="26">
        <v>1.1419999999999999</v>
      </c>
      <c r="R12" s="26">
        <v>0.52200000000000002</v>
      </c>
      <c r="S12" s="26">
        <v>1.026</v>
      </c>
      <c r="T12" s="26">
        <v>0.73099999999999998</v>
      </c>
      <c r="U12" s="26">
        <v>0.879</v>
      </c>
      <c r="V12" s="26">
        <v>0.188</v>
      </c>
    </row>
    <row r="13" spans="1:22" s="1" customFormat="1">
      <c r="A13" s="13" t="s">
        <v>146</v>
      </c>
      <c r="B13" s="20" t="s">
        <v>133</v>
      </c>
      <c r="C13" s="13" t="s">
        <v>147</v>
      </c>
      <c r="D13" s="13" t="s">
        <v>44</v>
      </c>
      <c r="E13" s="21">
        <v>15008719</v>
      </c>
      <c r="F13" s="21">
        <v>15013622</v>
      </c>
      <c r="G13" s="13" t="s">
        <v>44</v>
      </c>
      <c r="H13" s="21">
        <v>15100986</v>
      </c>
      <c r="I13" s="21">
        <v>15105889</v>
      </c>
      <c r="J13" s="22">
        <v>1.379</v>
      </c>
      <c r="K13" s="22">
        <v>2.8370000000000002</v>
      </c>
      <c r="L13" s="22">
        <v>4.2160000000000002</v>
      </c>
      <c r="M13" s="22">
        <v>-4.0000000000000001E-3</v>
      </c>
      <c r="N13" s="22">
        <v>0.158</v>
      </c>
      <c r="O13" s="22">
        <v>7.3999999999999996E-2</v>
      </c>
      <c r="P13" s="22">
        <v>0.04</v>
      </c>
      <c r="Q13" s="22">
        <v>2.9369999999999998</v>
      </c>
      <c r="R13" s="22">
        <v>0.122</v>
      </c>
      <c r="S13" s="22">
        <v>2.0350000000000001</v>
      </c>
      <c r="T13" s="22">
        <v>1.544</v>
      </c>
      <c r="U13" s="22">
        <v>1.7889999999999999</v>
      </c>
      <c r="V13" s="22">
        <v>0.23200000000000001</v>
      </c>
    </row>
    <row r="14" spans="1:22" s="1" customFormat="1">
      <c r="A14" s="23" t="s">
        <v>148</v>
      </c>
      <c r="B14" s="20" t="s">
        <v>133</v>
      </c>
      <c r="C14" s="23" t="s">
        <v>134</v>
      </c>
      <c r="D14" s="23" t="s">
        <v>44</v>
      </c>
      <c r="E14" s="25">
        <v>15051770</v>
      </c>
      <c r="F14" s="25">
        <v>15054203</v>
      </c>
      <c r="G14" s="23" t="s">
        <v>44</v>
      </c>
      <c r="H14" s="25">
        <v>15144037</v>
      </c>
      <c r="I14" s="25">
        <v>15146470</v>
      </c>
      <c r="J14" s="26">
        <v>84.846000000000004</v>
      </c>
      <c r="K14" s="26">
        <v>23.664000000000001</v>
      </c>
      <c r="L14" s="26">
        <v>108.51</v>
      </c>
      <c r="M14" s="26">
        <v>6.3E-2</v>
      </c>
      <c r="N14" s="26">
        <v>0.72199999999999998</v>
      </c>
      <c r="O14" s="26">
        <v>0.53600000000000003</v>
      </c>
      <c r="P14" s="26">
        <v>0.28100000000000003</v>
      </c>
      <c r="Q14" s="26">
        <v>1.788</v>
      </c>
      <c r="R14" s="26">
        <v>1.617</v>
      </c>
      <c r="S14" s="26">
        <v>5.6689999999999996</v>
      </c>
      <c r="T14" s="26">
        <v>3.8940000000000001</v>
      </c>
      <c r="U14" s="26">
        <v>4.7809999999999997</v>
      </c>
      <c r="V14" s="26">
        <v>1.258</v>
      </c>
    </row>
    <row r="15" spans="1:22" s="1" customFormat="1" ht="28.8" customHeight="1">
      <c r="A15" s="13" t="s">
        <v>149</v>
      </c>
      <c r="B15" s="20" t="s">
        <v>133</v>
      </c>
      <c r="C15" s="13" t="s">
        <v>150</v>
      </c>
      <c r="D15" s="13" t="s">
        <v>44</v>
      </c>
      <c r="E15" s="21">
        <v>15105354</v>
      </c>
      <c r="F15" s="21">
        <v>15110659</v>
      </c>
      <c r="G15" s="13" t="s">
        <v>44</v>
      </c>
      <c r="H15" s="21">
        <v>15197621</v>
      </c>
      <c r="I15" s="21">
        <v>15202926</v>
      </c>
      <c r="J15" s="22">
        <v>3.3809999999999998</v>
      </c>
      <c r="K15" s="22">
        <v>3.931</v>
      </c>
      <c r="L15" s="22">
        <v>7.3120000000000003</v>
      </c>
      <c r="M15" s="22">
        <v>-1.2E-2</v>
      </c>
      <c r="N15" s="22">
        <v>0.245</v>
      </c>
      <c r="O15" s="22">
        <v>0.158</v>
      </c>
      <c r="P15" s="22">
        <v>5.8999999999999997E-2</v>
      </c>
      <c r="Q15" s="22">
        <v>2.403</v>
      </c>
      <c r="R15" s="22">
        <v>0.28499999999999998</v>
      </c>
      <c r="S15" s="22">
        <v>1.6759999999999999</v>
      </c>
      <c r="T15" s="22">
        <v>1.357</v>
      </c>
      <c r="U15" s="22">
        <v>1.516</v>
      </c>
      <c r="V15" s="22">
        <v>0.40300000000000002</v>
      </c>
    </row>
    <row r="16" spans="1:22" s="1" customFormat="1">
      <c r="A16" s="23" t="s">
        <v>19</v>
      </c>
      <c r="B16" s="24" t="s">
        <v>135</v>
      </c>
      <c r="C16" s="23" t="s">
        <v>136</v>
      </c>
      <c r="D16" s="23" t="s">
        <v>44</v>
      </c>
      <c r="E16" s="25">
        <v>15171260</v>
      </c>
      <c r="F16" s="25">
        <v>15176448</v>
      </c>
      <c r="G16" s="23" t="s">
        <v>44</v>
      </c>
      <c r="H16" s="25">
        <v>15263527</v>
      </c>
      <c r="I16" s="25">
        <v>15268715</v>
      </c>
      <c r="J16" s="26">
        <v>2.4590000000000001</v>
      </c>
      <c r="K16" s="26">
        <v>3.3170000000000002</v>
      </c>
      <c r="L16" s="26">
        <v>5.7759999999999998</v>
      </c>
      <c r="M16" s="26">
        <v>-6.0000000000000001E-3</v>
      </c>
      <c r="N16" s="26">
        <v>7.4999999999999997E-2</v>
      </c>
      <c r="O16" s="26">
        <v>0.113</v>
      </c>
      <c r="P16" s="26">
        <v>3.4000000000000002E-2</v>
      </c>
      <c r="Q16" s="26">
        <v>0.40600000000000003</v>
      </c>
      <c r="R16" s="26">
        <v>0.17299999999999999</v>
      </c>
      <c r="S16" s="26">
        <v>0.91100000000000003</v>
      </c>
      <c r="T16" s="26">
        <v>0.72799999999999998</v>
      </c>
      <c r="U16" s="26">
        <v>0.81899999999999995</v>
      </c>
      <c r="V16" s="26">
        <v>0.188</v>
      </c>
    </row>
    <row r="17" spans="1:22" s="1" customFormat="1">
      <c r="A17" s="13" t="s">
        <v>151</v>
      </c>
      <c r="B17" s="20" t="s">
        <v>133</v>
      </c>
      <c r="C17" s="13" t="s">
        <v>152</v>
      </c>
      <c r="D17" s="13" t="s">
        <v>44</v>
      </c>
      <c r="E17" s="21">
        <v>15177942</v>
      </c>
      <c r="F17" s="21">
        <v>15183579</v>
      </c>
      <c r="G17" s="13" t="s">
        <v>44</v>
      </c>
      <c r="H17" s="21">
        <v>15270209</v>
      </c>
      <c r="I17" s="21">
        <v>15275846</v>
      </c>
      <c r="J17" s="22">
        <v>5.5090000000000003</v>
      </c>
      <c r="K17" s="22">
        <v>3.202</v>
      </c>
      <c r="L17" s="22">
        <v>8.7119999999999997</v>
      </c>
      <c r="M17" s="22">
        <v>-8.9999999999999993E-3</v>
      </c>
      <c r="N17" s="22">
        <v>0.39600000000000002</v>
      </c>
      <c r="O17" s="22">
        <v>0.25600000000000001</v>
      </c>
      <c r="P17" s="22">
        <v>0.06</v>
      </c>
      <c r="Q17" s="22">
        <v>0.59399999999999997</v>
      </c>
      <c r="R17" s="22">
        <v>0.28399999999999997</v>
      </c>
      <c r="S17" s="22">
        <v>2.5099999999999998</v>
      </c>
      <c r="T17" s="22">
        <v>1.446</v>
      </c>
      <c r="U17" s="22">
        <v>1.978</v>
      </c>
      <c r="V17" s="22">
        <v>0.65200000000000002</v>
      </c>
    </row>
    <row r="18" spans="1:22" s="1" customFormat="1" ht="28.8" customHeight="1">
      <c r="A18" s="23" t="s">
        <v>153</v>
      </c>
      <c r="B18" s="20" t="s">
        <v>133</v>
      </c>
      <c r="C18" s="23" t="s">
        <v>154</v>
      </c>
      <c r="D18" s="23" t="s">
        <v>44</v>
      </c>
      <c r="E18" s="25">
        <v>15206894</v>
      </c>
      <c r="F18" s="25">
        <v>15211138</v>
      </c>
      <c r="G18" s="23" t="s">
        <v>44</v>
      </c>
      <c r="H18" s="25">
        <v>15299161</v>
      </c>
      <c r="I18" s="25">
        <v>15303405</v>
      </c>
      <c r="J18" s="26">
        <v>11.516999999999999</v>
      </c>
      <c r="K18" s="26">
        <v>4.43</v>
      </c>
      <c r="L18" s="26">
        <v>15.946999999999999</v>
      </c>
      <c r="M18" s="26">
        <v>1.2999999999999999E-2</v>
      </c>
      <c r="N18" s="26">
        <v>0.53100000000000003</v>
      </c>
      <c r="O18" s="26">
        <v>0.30199999999999999</v>
      </c>
      <c r="P18" s="26">
        <v>5.8999999999999997E-2</v>
      </c>
      <c r="Q18" s="26">
        <v>2.1680000000000001</v>
      </c>
      <c r="R18" s="26">
        <v>0.63600000000000001</v>
      </c>
      <c r="S18" s="26">
        <v>2.5390000000000001</v>
      </c>
      <c r="T18" s="26">
        <v>2.468</v>
      </c>
      <c r="U18" s="26">
        <v>2.5030000000000001</v>
      </c>
      <c r="V18" s="26">
        <v>0.83299999999999996</v>
      </c>
    </row>
    <row r="19" spans="1:22" s="1" customFormat="1">
      <c r="A19" s="13" t="s">
        <v>155</v>
      </c>
      <c r="B19" s="20" t="s">
        <v>133</v>
      </c>
      <c r="C19" s="13" t="s">
        <v>156</v>
      </c>
      <c r="D19" s="13" t="s">
        <v>44</v>
      </c>
      <c r="E19" s="21">
        <v>15207935</v>
      </c>
      <c r="F19" s="21">
        <v>15210467</v>
      </c>
      <c r="G19" s="13" t="s">
        <v>44</v>
      </c>
      <c r="H19" s="21">
        <v>15300202</v>
      </c>
      <c r="I19" s="21">
        <v>15302734</v>
      </c>
      <c r="J19" s="22">
        <v>16.888000000000002</v>
      </c>
      <c r="K19" s="22">
        <v>5.4340000000000002</v>
      </c>
      <c r="L19" s="22">
        <v>22.323</v>
      </c>
      <c r="M19" s="22">
        <v>2.3E-2</v>
      </c>
      <c r="N19" s="22">
        <v>0.73399999999999999</v>
      </c>
      <c r="O19" s="22">
        <v>0.32900000000000001</v>
      </c>
      <c r="P19" s="22">
        <v>8.1000000000000003E-2</v>
      </c>
      <c r="Q19" s="22">
        <v>0</v>
      </c>
      <c r="R19" s="22">
        <v>0.47399999999999998</v>
      </c>
      <c r="S19" s="22">
        <v>2.9079999999999999</v>
      </c>
      <c r="T19" s="22">
        <v>3.3559999999999999</v>
      </c>
      <c r="U19" s="22">
        <v>3.1320000000000001</v>
      </c>
      <c r="V19" s="22">
        <v>1.0620000000000001</v>
      </c>
    </row>
    <row r="20" spans="1:22" s="1" customFormat="1">
      <c r="A20" s="23" t="s">
        <v>157</v>
      </c>
      <c r="B20" s="20" t="s">
        <v>133</v>
      </c>
      <c r="C20" s="23" t="s">
        <v>158</v>
      </c>
      <c r="D20" s="23" t="s">
        <v>44</v>
      </c>
      <c r="E20" s="25">
        <v>15219891</v>
      </c>
      <c r="F20" s="25">
        <v>15224925</v>
      </c>
      <c r="G20" s="23" t="s">
        <v>44</v>
      </c>
      <c r="H20" s="25">
        <v>15312158</v>
      </c>
      <c r="I20" s="25">
        <v>15317192</v>
      </c>
      <c r="J20" s="26">
        <v>4.9269999999999996</v>
      </c>
      <c r="K20" s="26">
        <v>4.0380000000000003</v>
      </c>
      <c r="L20" s="26">
        <v>8.9649999999999999</v>
      </c>
      <c r="M20" s="26">
        <v>-1.4999999999999999E-2</v>
      </c>
      <c r="N20" s="26">
        <v>0.17</v>
      </c>
      <c r="O20" s="26">
        <v>0.13200000000000001</v>
      </c>
      <c r="P20" s="26">
        <v>3.4000000000000002E-2</v>
      </c>
      <c r="Q20" s="26">
        <v>1.1259999999999999</v>
      </c>
      <c r="R20" s="26">
        <v>0.314</v>
      </c>
      <c r="S20" s="26">
        <v>0.81399999999999995</v>
      </c>
      <c r="T20" s="26">
        <v>1.0309999999999999</v>
      </c>
      <c r="U20" s="26">
        <v>0.92300000000000004</v>
      </c>
      <c r="V20" s="26">
        <v>0.30299999999999999</v>
      </c>
    </row>
    <row r="21" spans="1:22" s="1" customFormat="1">
      <c r="A21" s="13" t="s">
        <v>16</v>
      </c>
      <c r="B21" s="24" t="s">
        <v>135</v>
      </c>
      <c r="C21" s="13" t="s">
        <v>136</v>
      </c>
      <c r="D21" s="13" t="s">
        <v>44</v>
      </c>
      <c r="E21" s="21">
        <v>15221300</v>
      </c>
      <c r="F21" s="21">
        <v>15226920</v>
      </c>
      <c r="G21" s="13" t="s">
        <v>44</v>
      </c>
      <c r="H21" s="21">
        <v>15313567</v>
      </c>
      <c r="I21" s="21">
        <v>15319187</v>
      </c>
      <c r="J21" s="22">
        <v>4.984</v>
      </c>
      <c r="K21" s="22">
        <v>4.319</v>
      </c>
      <c r="L21" s="22">
        <v>9.3019999999999996</v>
      </c>
      <c r="M21" s="22">
        <v>-1.7999999999999999E-2</v>
      </c>
      <c r="N21" s="22">
        <v>0.20399999999999999</v>
      </c>
      <c r="O21" s="22">
        <v>0.158</v>
      </c>
      <c r="P21" s="22">
        <v>3.5000000000000003E-2</v>
      </c>
      <c r="Q21" s="22">
        <v>1.633</v>
      </c>
      <c r="R21" s="22">
        <v>0.48</v>
      </c>
      <c r="S21" s="22">
        <v>0.85799999999999998</v>
      </c>
      <c r="T21" s="22">
        <v>1.1890000000000001</v>
      </c>
      <c r="U21" s="22">
        <v>1.0229999999999999</v>
      </c>
      <c r="V21" s="22">
        <v>0.36099999999999999</v>
      </c>
    </row>
    <row r="22" spans="1:22" s="1" customFormat="1">
      <c r="A22" s="23" t="s">
        <v>159</v>
      </c>
      <c r="B22" s="20" t="s">
        <v>133</v>
      </c>
      <c r="C22" s="23" t="s">
        <v>160</v>
      </c>
      <c r="D22" s="23" t="s">
        <v>44</v>
      </c>
      <c r="E22" s="25">
        <v>15224458</v>
      </c>
      <c r="F22" s="25">
        <v>15230035</v>
      </c>
      <c r="G22" s="23" t="s">
        <v>44</v>
      </c>
      <c r="H22" s="25">
        <v>15316725</v>
      </c>
      <c r="I22" s="25">
        <v>15322305</v>
      </c>
      <c r="J22" s="26">
        <v>3.89</v>
      </c>
      <c r="K22" s="26">
        <v>3.411</v>
      </c>
      <c r="L22" s="26">
        <v>7.3010000000000002</v>
      </c>
      <c r="M22" s="26">
        <v>-1.4999999999999999E-2</v>
      </c>
      <c r="N22" s="26">
        <v>0.15</v>
      </c>
      <c r="O22" s="26">
        <v>0.27700000000000002</v>
      </c>
      <c r="P22" s="26">
        <v>3.3000000000000002E-2</v>
      </c>
      <c r="Q22" s="26">
        <v>1.7669999999999999</v>
      </c>
      <c r="R22" s="26">
        <v>0.28000000000000003</v>
      </c>
      <c r="S22" s="26">
        <v>1.1839999999999999</v>
      </c>
      <c r="T22" s="26">
        <v>0.996</v>
      </c>
      <c r="U22" s="26">
        <v>1.0900000000000001</v>
      </c>
      <c r="V22" s="26">
        <v>0.42699999999999999</v>
      </c>
    </row>
    <row r="23" spans="1:22" s="1" customFormat="1">
      <c r="A23" s="13" t="s">
        <v>161</v>
      </c>
      <c r="B23" s="20" t="s">
        <v>133</v>
      </c>
      <c r="C23" s="13" t="s">
        <v>162</v>
      </c>
      <c r="D23" s="13" t="s">
        <v>44</v>
      </c>
      <c r="E23" s="21">
        <v>15278042</v>
      </c>
      <c r="F23" s="21">
        <v>15283252</v>
      </c>
      <c r="G23" s="13" t="s">
        <v>44</v>
      </c>
      <c r="H23" s="21">
        <v>15369875</v>
      </c>
      <c r="I23" s="21">
        <v>15375085</v>
      </c>
      <c r="J23" s="22">
        <v>3.609</v>
      </c>
      <c r="K23" s="22">
        <v>3.5179999999999998</v>
      </c>
      <c r="L23" s="22">
        <v>7.1269999999999998</v>
      </c>
      <c r="M23" s="22">
        <v>-6.0000000000000001E-3</v>
      </c>
      <c r="N23" s="22">
        <v>9.0999999999999998E-2</v>
      </c>
      <c r="O23" s="22">
        <v>0.10199999999999999</v>
      </c>
      <c r="P23" s="22">
        <v>2.4E-2</v>
      </c>
      <c r="Q23" s="22">
        <v>0.154</v>
      </c>
      <c r="R23" s="22">
        <v>0.249</v>
      </c>
      <c r="S23" s="22">
        <v>1.3080000000000001</v>
      </c>
      <c r="T23" s="22">
        <v>1.0860000000000001</v>
      </c>
      <c r="U23" s="22">
        <v>1.1970000000000001</v>
      </c>
      <c r="V23" s="22">
        <v>0.193</v>
      </c>
    </row>
    <row r="24" spans="1:22" s="1" customFormat="1">
      <c r="A24" s="23" t="s">
        <v>163</v>
      </c>
      <c r="B24" s="20" t="s">
        <v>133</v>
      </c>
      <c r="C24" s="23" t="s">
        <v>164</v>
      </c>
      <c r="D24" s="23" t="s">
        <v>44</v>
      </c>
      <c r="E24" s="25">
        <v>15287839</v>
      </c>
      <c r="F24" s="25">
        <v>15293149</v>
      </c>
      <c r="G24" s="23" t="s">
        <v>44</v>
      </c>
      <c r="H24" s="25">
        <v>15379672</v>
      </c>
      <c r="I24" s="25">
        <v>15384982</v>
      </c>
      <c r="J24" s="26">
        <v>1.115</v>
      </c>
      <c r="K24" s="26">
        <v>3.1890000000000001</v>
      </c>
      <c r="L24" s="26">
        <v>4.3040000000000003</v>
      </c>
      <c r="M24" s="26">
        <v>-1.2999999999999999E-2</v>
      </c>
      <c r="N24" s="26">
        <v>6.9000000000000006E-2</v>
      </c>
      <c r="O24" s="26">
        <v>5.7000000000000002E-2</v>
      </c>
      <c r="P24" s="26">
        <v>1.4999999999999999E-2</v>
      </c>
      <c r="Q24" s="26">
        <v>0.52900000000000003</v>
      </c>
      <c r="R24" s="26">
        <v>0.122</v>
      </c>
      <c r="S24" s="26">
        <v>0.86199999999999999</v>
      </c>
      <c r="T24" s="26">
        <v>0.873</v>
      </c>
      <c r="U24" s="26">
        <v>0.86799999999999999</v>
      </c>
      <c r="V24" s="26">
        <v>0.126</v>
      </c>
    </row>
    <row r="25" spans="1:22" s="1" customFormat="1">
      <c r="A25" s="13" t="s">
        <v>165</v>
      </c>
      <c r="B25" s="20" t="s">
        <v>133</v>
      </c>
      <c r="C25" s="13" t="s">
        <v>166</v>
      </c>
      <c r="D25" s="13" t="s">
        <v>44</v>
      </c>
      <c r="E25" s="21">
        <v>15377985</v>
      </c>
      <c r="F25" s="21">
        <v>15382881</v>
      </c>
      <c r="G25" s="13" t="s">
        <v>44</v>
      </c>
      <c r="H25" s="21">
        <v>15469818</v>
      </c>
      <c r="I25" s="21">
        <v>15474714</v>
      </c>
      <c r="J25" s="22">
        <v>2.8730000000000002</v>
      </c>
      <c r="K25" s="22">
        <v>3.6219999999999999</v>
      </c>
      <c r="L25" s="22">
        <v>6.4939999999999998</v>
      </c>
      <c r="M25" s="22">
        <v>-2.1999999999999999E-2</v>
      </c>
      <c r="N25" s="22">
        <v>0.11799999999999999</v>
      </c>
      <c r="O25" s="22">
        <v>0.158</v>
      </c>
      <c r="P25" s="22">
        <v>3.2000000000000001E-2</v>
      </c>
      <c r="Q25" s="22">
        <v>0.73399999999999999</v>
      </c>
      <c r="R25" s="22">
        <v>0.438</v>
      </c>
      <c r="S25" s="22">
        <v>1.1719999999999999</v>
      </c>
      <c r="T25" s="22">
        <v>1.0289999999999999</v>
      </c>
      <c r="U25" s="22">
        <v>1.1000000000000001</v>
      </c>
      <c r="V25" s="22">
        <v>0.27600000000000002</v>
      </c>
    </row>
    <row r="26" spans="1:22" s="1" customFormat="1">
      <c r="A26" s="23" t="s">
        <v>167</v>
      </c>
      <c r="B26" s="20" t="s">
        <v>133</v>
      </c>
      <c r="C26" s="23" t="s">
        <v>168</v>
      </c>
      <c r="D26" s="23" t="s">
        <v>44</v>
      </c>
      <c r="E26" s="25">
        <v>15391180</v>
      </c>
      <c r="F26" s="25">
        <v>15395886</v>
      </c>
      <c r="G26" s="23" t="s">
        <v>44</v>
      </c>
      <c r="H26" s="25">
        <v>15483013</v>
      </c>
      <c r="I26" s="25">
        <v>15487719</v>
      </c>
      <c r="J26" s="26">
        <v>6.8330000000000002</v>
      </c>
      <c r="K26" s="26">
        <v>3.5259999999999998</v>
      </c>
      <c r="L26" s="26">
        <v>10.359</v>
      </c>
      <c r="M26" s="26">
        <v>1.4E-2</v>
      </c>
      <c r="N26" s="26">
        <v>0.66100000000000003</v>
      </c>
      <c r="O26" s="26">
        <v>0.33900000000000002</v>
      </c>
      <c r="P26" s="26">
        <v>0.28299999999999997</v>
      </c>
      <c r="Q26" s="26">
        <v>1.0999999999999999E-2</v>
      </c>
      <c r="R26" s="26">
        <v>0.51700000000000002</v>
      </c>
      <c r="S26" s="26">
        <v>2.19</v>
      </c>
      <c r="T26" s="26">
        <v>2.5790000000000002</v>
      </c>
      <c r="U26" s="26">
        <v>2.3849999999999998</v>
      </c>
      <c r="V26" s="26">
        <v>1</v>
      </c>
    </row>
    <row r="27" spans="1:22" s="1" customFormat="1">
      <c r="A27" s="13" t="s">
        <v>169</v>
      </c>
      <c r="B27" s="20" t="s">
        <v>133</v>
      </c>
      <c r="C27" s="13" t="s">
        <v>168</v>
      </c>
      <c r="D27" s="13" t="s">
        <v>44</v>
      </c>
      <c r="E27" s="21">
        <v>15394344</v>
      </c>
      <c r="F27" s="21">
        <v>15396348</v>
      </c>
      <c r="G27" s="13" t="s">
        <v>44</v>
      </c>
      <c r="H27" s="21">
        <v>15486177</v>
      </c>
      <c r="I27" s="21">
        <v>15488181</v>
      </c>
      <c r="J27" s="22">
        <v>9.6069999999999993</v>
      </c>
      <c r="K27" s="22">
        <v>4.7859999999999996</v>
      </c>
      <c r="L27" s="22">
        <v>14.394</v>
      </c>
      <c r="M27" s="22">
        <v>3.2000000000000001E-2</v>
      </c>
      <c r="N27" s="22">
        <v>1.216</v>
      </c>
      <c r="O27" s="22">
        <v>0.56799999999999995</v>
      </c>
      <c r="P27" s="22">
        <v>0.66900000000000004</v>
      </c>
      <c r="Q27" s="22">
        <v>1.1599999999999999</v>
      </c>
      <c r="R27" s="22">
        <v>0.749</v>
      </c>
      <c r="S27" s="22">
        <v>3.544</v>
      </c>
      <c r="T27" s="22">
        <v>3.9470000000000001</v>
      </c>
      <c r="U27" s="22">
        <v>3.7450000000000001</v>
      </c>
      <c r="V27" s="22">
        <v>1.784</v>
      </c>
    </row>
    <row r="28" spans="1:22" s="1" customFormat="1">
      <c r="A28" s="23" t="s">
        <v>170</v>
      </c>
      <c r="B28" s="20" t="s">
        <v>133</v>
      </c>
      <c r="C28" s="23" t="s">
        <v>171</v>
      </c>
      <c r="D28" s="23" t="s">
        <v>44</v>
      </c>
      <c r="E28" s="25">
        <v>15418100</v>
      </c>
      <c r="F28" s="25">
        <v>15423221</v>
      </c>
      <c r="G28" s="23" t="s">
        <v>44</v>
      </c>
      <c r="H28" s="25">
        <v>15509933</v>
      </c>
      <c r="I28" s="25">
        <v>15515054</v>
      </c>
      <c r="J28" s="26">
        <v>5.1420000000000003</v>
      </c>
      <c r="K28" s="26">
        <v>3.1619999999999999</v>
      </c>
      <c r="L28" s="26">
        <v>8.3040000000000003</v>
      </c>
      <c r="M28" s="26">
        <v>-1.2E-2</v>
      </c>
      <c r="N28" s="26">
        <v>0.376</v>
      </c>
      <c r="O28" s="26">
        <v>0.19500000000000001</v>
      </c>
      <c r="P28" s="26">
        <v>0.14799999999999999</v>
      </c>
      <c r="Q28" s="26">
        <v>2.1579999999999999</v>
      </c>
      <c r="R28" s="26">
        <v>0.44500000000000001</v>
      </c>
      <c r="S28" s="26">
        <v>2.4820000000000002</v>
      </c>
      <c r="T28" s="26">
        <v>1.863</v>
      </c>
      <c r="U28" s="26">
        <v>2.173</v>
      </c>
      <c r="V28" s="26">
        <v>0.57099999999999995</v>
      </c>
    </row>
    <row r="29" spans="1:22" s="1" customFormat="1">
      <c r="A29" s="13" t="s">
        <v>172</v>
      </c>
      <c r="B29" s="20" t="s">
        <v>133</v>
      </c>
      <c r="C29" s="13" t="s">
        <v>173</v>
      </c>
      <c r="D29" s="13" t="s">
        <v>44</v>
      </c>
      <c r="E29" s="21">
        <v>15422724</v>
      </c>
      <c r="F29" s="21">
        <v>15427678</v>
      </c>
      <c r="G29" s="13" t="s">
        <v>44</v>
      </c>
      <c r="H29" s="21">
        <v>15514557</v>
      </c>
      <c r="I29" s="21">
        <v>15519511</v>
      </c>
      <c r="J29" s="22">
        <v>3.0609999999999999</v>
      </c>
      <c r="K29" s="22">
        <v>2.371</v>
      </c>
      <c r="L29" s="22">
        <v>5.4320000000000004</v>
      </c>
      <c r="M29" s="22">
        <v>5.0000000000000001E-3</v>
      </c>
      <c r="N29" s="22">
        <v>0.39700000000000002</v>
      </c>
      <c r="O29" s="22">
        <v>0.23200000000000001</v>
      </c>
      <c r="P29" s="22">
        <v>0.24</v>
      </c>
      <c r="Q29" s="22">
        <v>3.0529999999999999</v>
      </c>
      <c r="R29" s="22">
        <v>0.36299999999999999</v>
      </c>
      <c r="S29" s="22">
        <v>2.0830000000000002</v>
      </c>
      <c r="T29" s="22">
        <v>1.544</v>
      </c>
      <c r="U29" s="22">
        <v>1.8129999999999999</v>
      </c>
      <c r="V29" s="22">
        <v>0.629</v>
      </c>
    </row>
    <row r="30" spans="1:22" s="1" customFormat="1">
      <c r="A30" s="23" t="s">
        <v>20</v>
      </c>
      <c r="B30" s="24" t="s">
        <v>135</v>
      </c>
      <c r="C30" s="23" t="s">
        <v>136</v>
      </c>
      <c r="D30" s="23" t="s">
        <v>44</v>
      </c>
      <c r="E30" s="25">
        <v>15433884</v>
      </c>
      <c r="F30" s="25">
        <v>15439151</v>
      </c>
      <c r="G30" s="23" t="s">
        <v>44</v>
      </c>
      <c r="H30" s="25">
        <v>15525717</v>
      </c>
      <c r="I30" s="25">
        <v>15530984</v>
      </c>
      <c r="J30" s="26">
        <v>7.5999999999999998E-2</v>
      </c>
      <c r="K30" s="26">
        <v>0.35899999999999999</v>
      </c>
      <c r="L30" s="26">
        <v>0.435</v>
      </c>
      <c r="M30" s="26">
        <v>-1.0999999999999999E-2</v>
      </c>
      <c r="N30" s="26">
        <v>7.0000000000000001E-3</v>
      </c>
      <c r="O30" s="26">
        <v>2E-3</v>
      </c>
      <c r="P30" s="26">
        <v>0</v>
      </c>
      <c r="Q30" s="26">
        <v>0.156</v>
      </c>
      <c r="R30" s="26">
        <v>0</v>
      </c>
      <c r="S30" s="26">
        <v>0.03</v>
      </c>
      <c r="T30" s="26">
        <v>0.12</v>
      </c>
      <c r="U30" s="26">
        <v>7.4999999999999997E-2</v>
      </c>
      <c r="V30" s="26">
        <v>8.9999999999999993E-3</v>
      </c>
    </row>
    <row r="31" spans="1:22" s="1" customFormat="1">
      <c r="A31" s="13" t="s">
        <v>21</v>
      </c>
      <c r="B31" s="24" t="s">
        <v>135</v>
      </c>
      <c r="C31" s="13" t="s">
        <v>136</v>
      </c>
      <c r="D31" s="13" t="s">
        <v>44</v>
      </c>
      <c r="E31" s="21">
        <v>15434539</v>
      </c>
      <c r="F31" s="21">
        <v>15436055</v>
      </c>
      <c r="G31" s="13" t="s">
        <v>44</v>
      </c>
      <c r="H31" s="21">
        <v>15526372</v>
      </c>
      <c r="I31" s="21">
        <v>15527888</v>
      </c>
      <c r="J31" s="22">
        <v>0</v>
      </c>
      <c r="K31" s="22">
        <v>0</v>
      </c>
      <c r="L31" s="22">
        <v>0</v>
      </c>
      <c r="M31" s="22">
        <v>-1.4E-2</v>
      </c>
      <c r="N31" s="22">
        <v>0</v>
      </c>
      <c r="O31" s="22">
        <v>0</v>
      </c>
      <c r="P31" s="22">
        <v>0</v>
      </c>
      <c r="Q31" s="22">
        <v>5.8000000000000003E-2</v>
      </c>
      <c r="R31" s="22">
        <v>0</v>
      </c>
      <c r="S31" s="22">
        <v>0</v>
      </c>
      <c r="T31" s="22">
        <v>0</v>
      </c>
      <c r="U31" s="22">
        <v>0</v>
      </c>
      <c r="V31" s="22">
        <v>0</v>
      </c>
    </row>
    <row r="32" spans="1:22" s="1" customFormat="1">
      <c r="A32" s="23" t="s">
        <v>174</v>
      </c>
      <c r="B32" s="20" t="s">
        <v>133</v>
      </c>
      <c r="C32" s="23" t="s">
        <v>175</v>
      </c>
      <c r="D32" s="23" t="s">
        <v>44</v>
      </c>
      <c r="E32" s="25">
        <v>15441031</v>
      </c>
      <c r="F32" s="25">
        <v>15447769</v>
      </c>
      <c r="G32" s="23" t="s">
        <v>44</v>
      </c>
      <c r="H32" s="25">
        <v>15532864</v>
      </c>
      <c r="I32" s="25">
        <v>15539602</v>
      </c>
      <c r="J32" s="26">
        <v>11.723000000000001</v>
      </c>
      <c r="K32" s="26">
        <v>3.5880000000000001</v>
      </c>
      <c r="L32" s="26">
        <v>15.311</v>
      </c>
      <c r="M32" s="26">
        <v>2E-3</v>
      </c>
      <c r="N32" s="26">
        <v>0.81799999999999995</v>
      </c>
      <c r="O32" s="26">
        <v>0.38600000000000001</v>
      </c>
      <c r="P32" s="26">
        <v>0.193</v>
      </c>
      <c r="Q32" s="26">
        <v>2.093</v>
      </c>
      <c r="R32" s="26">
        <v>0.312</v>
      </c>
      <c r="S32" s="26">
        <v>2.4140000000000001</v>
      </c>
      <c r="T32" s="26">
        <v>2.4750000000000001</v>
      </c>
      <c r="U32" s="26">
        <v>2.4449999999999998</v>
      </c>
      <c r="V32" s="26">
        <v>1.204</v>
      </c>
    </row>
    <row r="33" spans="1:22" s="1" customFormat="1">
      <c r="A33" s="13" t="s">
        <v>14</v>
      </c>
      <c r="B33" s="24" t="s">
        <v>135</v>
      </c>
      <c r="C33" s="13" t="s">
        <v>136</v>
      </c>
      <c r="D33" s="13" t="s">
        <v>44</v>
      </c>
      <c r="E33" s="21">
        <v>15446547</v>
      </c>
      <c r="F33" s="21">
        <v>15451946</v>
      </c>
      <c r="G33" s="13" t="s">
        <v>44</v>
      </c>
      <c r="H33" s="21">
        <v>15538380</v>
      </c>
      <c r="I33" s="21">
        <v>15543779</v>
      </c>
      <c r="J33" s="22">
        <v>3.88</v>
      </c>
      <c r="K33" s="22">
        <v>2.9009999999999998</v>
      </c>
      <c r="L33" s="22">
        <v>6.7809999999999997</v>
      </c>
      <c r="M33" s="22">
        <v>-1.4E-2</v>
      </c>
      <c r="N33" s="22">
        <v>0.29499999999999998</v>
      </c>
      <c r="O33" s="22">
        <v>0.19900000000000001</v>
      </c>
      <c r="P33" s="22">
        <v>5.6000000000000001E-2</v>
      </c>
      <c r="Q33" s="22">
        <v>0.68</v>
      </c>
      <c r="R33" s="22">
        <v>0.29799999999999999</v>
      </c>
      <c r="S33" s="22">
        <v>1.4</v>
      </c>
      <c r="T33" s="22">
        <v>1.3149999999999999</v>
      </c>
      <c r="U33" s="22">
        <v>1.357</v>
      </c>
      <c r="V33" s="22">
        <v>0.49399999999999999</v>
      </c>
    </row>
    <row r="34" spans="1:22" s="1" customFormat="1">
      <c r="A34" s="23" t="s">
        <v>176</v>
      </c>
      <c r="B34" s="20" t="s">
        <v>133</v>
      </c>
      <c r="C34" s="23" t="s">
        <v>177</v>
      </c>
      <c r="D34" s="23" t="s">
        <v>44</v>
      </c>
      <c r="E34" s="25">
        <v>15464300</v>
      </c>
      <c r="F34" s="25">
        <v>15470736</v>
      </c>
      <c r="G34" s="23" t="s">
        <v>44</v>
      </c>
      <c r="H34" s="25">
        <v>15556133</v>
      </c>
      <c r="I34" s="25">
        <v>15562569</v>
      </c>
      <c r="J34" s="26">
        <v>45.774999999999999</v>
      </c>
      <c r="K34" s="26">
        <v>18.553000000000001</v>
      </c>
      <c r="L34" s="26">
        <v>64.328000000000003</v>
      </c>
      <c r="M34" s="26">
        <v>8.8999999999999996E-2</v>
      </c>
      <c r="N34" s="26">
        <v>1.36</v>
      </c>
      <c r="O34" s="26">
        <v>1.095</v>
      </c>
      <c r="P34" s="26">
        <v>6.7329999999999997</v>
      </c>
      <c r="Q34" s="26">
        <v>1.4570000000000001</v>
      </c>
      <c r="R34" s="26">
        <v>0.61099999999999999</v>
      </c>
      <c r="S34" s="26">
        <v>4.3419999999999996</v>
      </c>
      <c r="T34" s="26">
        <v>4.4960000000000004</v>
      </c>
      <c r="U34" s="26">
        <v>4.4189999999999996</v>
      </c>
      <c r="V34" s="26">
        <v>2.456</v>
      </c>
    </row>
    <row r="35" spans="1:22" s="1" customFormat="1">
      <c r="A35" s="13" t="s">
        <v>178</v>
      </c>
      <c r="B35" s="20" t="s">
        <v>133</v>
      </c>
      <c r="C35" s="13" t="s">
        <v>179</v>
      </c>
      <c r="D35" s="13" t="s">
        <v>44</v>
      </c>
      <c r="E35" s="21">
        <v>15483222</v>
      </c>
      <c r="F35" s="21">
        <v>15488000</v>
      </c>
      <c r="G35" s="13" t="s">
        <v>44</v>
      </c>
      <c r="H35" s="21">
        <v>15575055</v>
      </c>
      <c r="I35" s="21">
        <v>15579833</v>
      </c>
      <c r="J35" s="22">
        <v>9.7609999999999992</v>
      </c>
      <c r="K35" s="22">
        <v>5.2130000000000001</v>
      </c>
      <c r="L35" s="22">
        <v>14.974</v>
      </c>
      <c r="M35" s="22">
        <v>1.2999999999999999E-2</v>
      </c>
      <c r="N35" s="22">
        <v>0.60199999999999998</v>
      </c>
      <c r="O35" s="22">
        <v>0.24399999999999999</v>
      </c>
      <c r="P35" s="22">
        <v>7.6999999999999999E-2</v>
      </c>
      <c r="Q35" s="22">
        <v>8.4000000000000005E-2</v>
      </c>
      <c r="R35" s="22">
        <v>0.314</v>
      </c>
      <c r="S35" s="22">
        <v>2.0150000000000001</v>
      </c>
      <c r="T35" s="22">
        <v>2.1120000000000001</v>
      </c>
      <c r="U35" s="22">
        <v>2.0640000000000001</v>
      </c>
      <c r="V35" s="22">
        <v>0.84599999999999997</v>
      </c>
    </row>
    <row r="36" spans="1:22" s="1" customFormat="1">
      <c r="A36" s="23" t="s">
        <v>180</v>
      </c>
      <c r="B36" s="20" t="s">
        <v>133</v>
      </c>
      <c r="C36" s="23" t="s">
        <v>143</v>
      </c>
      <c r="D36" s="23" t="s">
        <v>44</v>
      </c>
      <c r="E36" s="25">
        <v>15485450</v>
      </c>
      <c r="F36" s="25">
        <v>15487169</v>
      </c>
      <c r="G36" s="23" t="s">
        <v>44</v>
      </c>
      <c r="H36" s="25">
        <v>15577283</v>
      </c>
      <c r="I36" s="25">
        <v>15579002</v>
      </c>
      <c r="J36" s="26">
        <v>6.8449999999999998</v>
      </c>
      <c r="K36" s="26">
        <v>3.952</v>
      </c>
      <c r="L36" s="26">
        <v>10.797000000000001</v>
      </c>
      <c r="M36" s="26">
        <v>1.9E-2</v>
      </c>
      <c r="N36" s="26">
        <v>0.58899999999999997</v>
      </c>
      <c r="O36" s="26">
        <v>0.16400000000000001</v>
      </c>
      <c r="P36" s="26">
        <v>0.123</v>
      </c>
      <c r="Q36" s="26">
        <v>0.17499999999999999</v>
      </c>
      <c r="R36" s="26">
        <v>0.183</v>
      </c>
      <c r="S36" s="26">
        <v>1.595</v>
      </c>
      <c r="T36" s="26">
        <v>2.1789999999999998</v>
      </c>
      <c r="U36" s="26">
        <v>1.887</v>
      </c>
      <c r="V36" s="26">
        <v>0.753</v>
      </c>
    </row>
    <row r="37" spans="1:22" s="1" customFormat="1">
      <c r="A37" s="13" t="s">
        <v>181</v>
      </c>
      <c r="B37" s="20" t="s">
        <v>133</v>
      </c>
      <c r="C37" s="13" t="s">
        <v>182</v>
      </c>
      <c r="D37" s="13" t="s">
        <v>44</v>
      </c>
      <c r="E37" s="21">
        <v>15535420</v>
      </c>
      <c r="F37" s="21">
        <v>15540093</v>
      </c>
      <c r="G37" s="13" t="s">
        <v>44</v>
      </c>
      <c r="H37" s="21">
        <v>15627253</v>
      </c>
      <c r="I37" s="21">
        <v>15631926</v>
      </c>
      <c r="J37" s="22">
        <v>11.97</v>
      </c>
      <c r="K37" s="22">
        <v>5.1440000000000001</v>
      </c>
      <c r="L37" s="22">
        <v>17.114999999999998</v>
      </c>
      <c r="M37" s="22">
        <v>-8.0000000000000002E-3</v>
      </c>
      <c r="N37" s="22">
        <v>0.51100000000000001</v>
      </c>
      <c r="O37" s="22">
        <v>0.20399999999999999</v>
      </c>
      <c r="P37" s="22">
        <v>6.8000000000000005E-2</v>
      </c>
      <c r="Q37" s="22">
        <v>9.8000000000000004E-2</v>
      </c>
      <c r="R37" s="22">
        <v>0.33400000000000002</v>
      </c>
      <c r="S37" s="22">
        <v>2.323</v>
      </c>
      <c r="T37" s="22">
        <v>1.536</v>
      </c>
      <c r="U37" s="22">
        <v>1.929</v>
      </c>
      <c r="V37" s="22">
        <v>0.71499999999999997</v>
      </c>
    </row>
    <row r="38" spans="1:22" s="1" customFormat="1">
      <c r="A38" s="23" t="s">
        <v>183</v>
      </c>
      <c r="B38" s="20" t="s">
        <v>133</v>
      </c>
      <c r="C38" s="23" t="s">
        <v>162</v>
      </c>
      <c r="D38" s="23" t="s">
        <v>44</v>
      </c>
      <c r="E38" s="25">
        <v>15539213</v>
      </c>
      <c r="F38" s="25">
        <v>15545868</v>
      </c>
      <c r="G38" s="23" t="s">
        <v>44</v>
      </c>
      <c r="H38" s="25">
        <v>15631046</v>
      </c>
      <c r="I38" s="25">
        <v>15637701</v>
      </c>
      <c r="J38" s="26">
        <v>31.221</v>
      </c>
      <c r="K38" s="26">
        <v>6.8220000000000001</v>
      </c>
      <c r="L38" s="26">
        <v>38.042999999999999</v>
      </c>
      <c r="M38" s="26">
        <v>4.1000000000000002E-2</v>
      </c>
      <c r="N38" s="26">
        <v>1.41</v>
      </c>
      <c r="O38" s="26">
        <v>0.57199999999999995</v>
      </c>
      <c r="P38" s="26">
        <v>0.23499999999999999</v>
      </c>
      <c r="Q38" s="26">
        <v>3.0139999999999998</v>
      </c>
      <c r="R38" s="26">
        <v>0.42499999999999999</v>
      </c>
      <c r="S38" s="26">
        <v>2.88</v>
      </c>
      <c r="T38" s="26">
        <v>2.7909999999999999</v>
      </c>
      <c r="U38" s="26">
        <v>2.8359999999999999</v>
      </c>
      <c r="V38" s="26">
        <v>1.982</v>
      </c>
    </row>
    <row r="39" spans="1:22" s="1" customFormat="1">
      <c r="A39" s="13" t="s">
        <v>184</v>
      </c>
      <c r="B39" s="20" t="s">
        <v>133</v>
      </c>
      <c r="C39" s="13" t="s">
        <v>185</v>
      </c>
      <c r="D39" s="13" t="s">
        <v>44</v>
      </c>
      <c r="E39" s="21">
        <v>15543030</v>
      </c>
      <c r="F39" s="21">
        <v>15545008</v>
      </c>
      <c r="G39" s="13" t="s">
        <v>44</v>
      </c>
      <c r="H39" s="21">
        <v>15634863</v>
      </c>
      <c r="I39" s="21">
        <v>15636841</v>
      </c>
      <c r="J39" s="22">
        <v>79.37</v>
      </c>
      <c r="K39" s="22">
        <v>12.303000000000001</v>
      </c>
      <c r="L39" s="22">
        <v>91.673000000000002</v>
      </c>
      <c r="M39" s="22">
        <v>7.0000000000000007E-2</v>
      </c>
      <c r="N39" s="22">
        <v>1.7989999999999999</v>
      </c>
      <c r="O39" s="22">
        <v>0.64800000000000002</v>
      </c>
      <c r="P39" s="22">
        <v>0.40600000000000003</v>
      </c>
      <c r="Q39" s="22">
        <v>4.53</v>
      </c>
      <c r="R39" s="22">
        <v>0.45500000000000002</v>
      </c>
      <c r="S39" s="22">
        <v>3.2309999999999999</v>
      </c>
      <c r="T39" s="22">
        <v>4.0019999999999998</v>
      </c>
      <c r="U39" s="22">
        <v>3.617</v>
      </c>
      <c r="V39" s="22">
        <v>2.4470000000000001</v>
      </c>
    </row>
    <row r="40" spans="1:22" s="1" customFormat="1" ht="28.8">
      <c r="A40" s="23" t="s">
        <v>7</v>
      </c>
      <c r="B40" s="24" t="s">
        <v>135</v>
      </c>
      <c r="C40" s="23" t="s">
        <v>136</v>
      </c>
      <c r="D40" s="23" t="s">
        <v>44</v>
      </c>
      <c r="E40" s="25">
        <v>15549343</v>
      </c>
      <c r="F40" s="25">
        <v>15550462</v>
      </c>
      <c r="G40" s="23" t="s">
        <v>44</v>
      </c>
      <c r="H40" s="25">
        <v>15641176</v>
      </c>
      <c r="I40" s="25">
        <v>15642295</v>
      </c>
      <c r="J40" s="26">
        <v>23.937000000000001</v>
      </c>
      <c r="K40" s="26">
        <v>6.859</v>
      </c>
      <c r="L40" s="26">
        <v>30.795999999999999</v>
      </c>
      <c r="M40" s="26">
        <v>0.104</v>
      </c>
      <c r="N40" s="26">
        <v>1.528</v>
      </c>
      <c r="O40" s="26">
        <v>0.56100000000000005</v>
      </c>
      <c r="P40" s="26">
        <v>0.19600000000000001</v>
      </c>
      <c r="Q40" s="26">
        <v>4.1740000000000004</v>
      </c>
      <c r="R40" s="26">
        <v>0.54100000000000004</v>
      </c>
      <c r="S40" s="26">
        <v>5.1379999999999999</v>
      </c>
      <c r="T40" s="26">
        <v>6.0330000000000004</v>
      </c>
      <c r="U40" s="26">
        <v>5.585</v>
      </c>
      <c r="V40" s="26">
        <v>2.089</v>
      </c>
    </row>
    <row r="41" spans="1:22" s="1" customFormat="1">
      <c r="A41" s="13" t="s">
        <v>186</v>
      </c>
      <c r="B41" s="20" t="s">
        <v>133</v>
      </c>
      <c r="C41" s="13" t="s">
        <v>187</v>
      </c>
      <c r="D41" s="13" t="s">
        <v>44</v>
      </c>
      <c r="E41" s="21">
        <v>15553755</v>
      </c>
      <c r="F41" s="21">
        <v>15558617</v>
      </c>
      <c r="G41" s="13" t="s">
        <v>44</v>
      </c>
      <c r="H41" s="21">
        <v>15645588</v>
      </c>
      <c r="I41" s="21">
        <v>15650450</v>
      </c>
      <c r="J41" s="22">
        <v>5.173</v>
      </c>
      <c r="K41" s="22">
        <v>3.51</v>
      </c>
      <c r="L41" s="22">
        <v>8.6839999999999993</v>
      </c>
      <c r="M41" s="22">
        <v>2E-3</v>
      </c>
      <c r="N41" s="22">
        <v>0.54</v>
      </c>
      <c r="O41" s="22">
        <v>0.39700000000000002</v>
      </c>
      <c r="P41" s="22">
        <v>9.1999999999999998E-2</v>
      </c>
      <c r="Q41" s="22">
        <v>1.6279999999999999</v>
      </c>
      <c r="R41" s="22">
        <v>0.37</v>
      </c>
      <c r="S41" s="22">
        <v>1.645</v>
      </c>
      <c r="T41" s="22">
        <v>1.6240000000000001</v>
      </c>
      <c r="U41" s="22">
        <v>1.6339999999999999</v>
      </c>
      <c r="V41" s="22">
        <v>0.93700000000000006</v>
      </c>
    </row>
    <row r="42" spans="1:22" s="1" customFormat="1">
      <c r="A42" s="23" t="s">
        <v>11</v>
      </c>
      <c r="B42" s="24" t="s">
        <v>135</v>
      </c>
      <c r="C42" s="23" t="s">
        <v>136</v>
      </c>
      <c r="D42" s="23" t="s">
        <v>44</v>
      </c>
      <c r="E42" s="25">
        <v>15561789</v>
      </c>
      <c r="F42" s="25">
        <v>15567045</v>
      </c>
      <c r="G42" s="23" t="s">
        <v>44</v>
      </c>
      <c r="H42" s="25">
        <v>15653622</v>
      </c>
      <c r="I42" s="25">
        <v>15658878</v>
      </c>
      <c r="J42" s="26">
        <v>5.1710000000000003</v>
      </c>
      <c r="K42" s="26">
        <v>3.5830000000000002</v>
      </c>
      <c r="L42" s="26">
        <v>8.7539999999999996</v>
      </c>
      <c r="M42" s="26">
        <v>-6.0000000000000001E-3</v>
      </c>
      <c r="N42" s="26">
        <v>0.43099999999999999</v>
      </c>
      <c r="O42" s="26">
        <v>0.24199999999999999</v>
      </c>
      <c r="P42" s="26">
        <v>0.05</v>
      </c>
      <c r="Q42" s="26">
        <v>2.14</v>
      </c>
      <c r="R42" s="26">
        <v>0.34499999999999997</v>
      </c>
      <c r="S42" s="26">
        <v>2.3039999999999998</v>
      </c>
      <c r="T42" s="26">
        <v>1.7410000000000001</v>
      </c>
      <c r="U42" s="26">
        <v>2.0219999999999998</v>
      </c>
      <c r="V42" s="26">
        <v>0.67400000000000004</v>
      </c>
    </row>
    <row r="43" spans="1:22" s="1" customFormat="1">
      <c r="A43" s="13" t="s">
        <v>188</v>
      </c>
      <c r="B43" s="20" t="s">
        <v>133</v>
      </c>
      <c r="C43" s="13" t="s">
        <v>189</v>
      </c>
      <c r="D43" s="13" t="s">
        <v>44</v>
      </c>
      <c r="E43" s="21">
        <v>15566505</v>
      </c>
      <c r="F43" s="21">
        <v>15571780</v>
      </c>
      <c r="G43" s="13" t="s">
        <v>44</v>
      </c>
      <c r="H43" s="21">
        <v>15658338</v>
      </c>
      <c r="I43" s="21">
        <v>15663613</v>
      </c>
      <c r="J43" s="22">
        <v>3.681</v>
      </c>
      <c r="K43" s="22">
        <v>4.1219999999999999</v>
      </c>
      <c r="L43" s="22">
        <v>7.8040000000000003</v>
      </c>
      <c r="M43" s="22">
        <v>-1.6E-2</v>
      </c>
      <c r="N43" s="22">
        <v>0.378</v>
      </c>
      <c r="O43" s="22">
        <v>0.251</v>
      </c>
      <c r="P43" s="22">
        <v>0.111</v>
      </c>
      <c r="Q43" s="22">
        <v>4.3319999999999999</v>
      </c>
      <c r="R43" s="22">
        <v>0.39800000000000002</v>
      </c>
      <c r="S43" s="22">
        <v>2.2000000000000002</v>
      </c>
      <c r="T43" s="22">
        <v>1.8480000000000001</v>
      </c>
      <c r="U43" s="22">
        <v>2.024</v>
      </c>
      <c r="V43" s="22">
        <v>0.629</v>
      </c>
    </row>
    <row r="44" spans="1:22" s="1" customFormat="1">
      <c r="A44" s="23" t="s">
        <v>190</v>
      </c>
      <c r="B44" s="20" t="s">
        <v>133</v>
      </c>
      <c r="C44" s="23" t="s">
        <v>189</v>
      </c>
      <c r="D44" s="23" t="s">
        <v>44</v>
      </c>
      <c r="E44" s="25">
        <v>15570848</v>
      </c>
      <c r="F44" s="25">
        <v>15575700</v>
      </c>
      <c r="G44" s="23" t="s">
        <v>44</v>
      </c>
      <c r="H44" s="25">
        <v>15662681</v>
      </c>
      <c r="I44" s="25">
        <v>15667533</v>
      </c>
      <c r="J44" s="26">
        <v>4.1449999999999996</v>
      </c>
      <c r="K44" s="26">
        <v>2.629</v>
      </c>
      <c r="L44" s="26">
        <v>6.7750000000000004</v>
      </c>
      <c r="M44" s="26">
        <v>-8.9999999999999993E-3</v>
      </c>
      <c r="N44" s="26">
        <v>0.34</v>
      </c>
      <c r="O44" s="26">
        <v>0.27300000000000002</v>
      </c>
      <c r="P44" s="26">
        <v>6.9000000000000006E-2</v>
      </c>
      <c r="Q44" s="26">
        <v>5.1999999999999998E-2</v>
      </c>
      <c r="R44" s="26">
        <v>0.124</v>
      </c>
      <c r="S44" s="26">
        <v>2.0219999999999998</v>
      </c>
      <c r="T44" s="26">
        <v>1.7270000000000001</v>
      </c>
      <c r="U44" s="26">
        <v>1.8740000000000001</v>
      </c>
      <c r="V44" s="26">
        <v>0.61299999999999999</v>
      </c>
    </row>
    <row r="45" spans="1:22" s="1" customFormat="1">
      <c r="A45" s="13" t="s">
        <v>191</v>
      </c>
      <c r="B45" s="20" t="s">
        <v>133</v>
      </c>
      <c r="C45" s="13" t="s">
        <v>192</v>
      </c>
      <c r="D45" s="13" t="s">
        <v>44</v>
      </c>
      <c r="E45" s="21">
        <v>15575346</v>
      </c>
      <c r="F45" s="21">
        <v>15580762</v>
      </c>
      <c r="G45" s="13" t="s">
        <v>44</v>
      </c>
      <c r="H45" s="21">
        <v>15667179</v>
      </c>
      <c r="I45" s="21">
        <v>15672595</v>
      </c>
      <c r="J45" s="22">
        <v>8.4830000000000005</v>
      </c>
      <c r="K45" s="22">
        <v>3.5720000000000001</v>
      </c>
      <c r="L45" s="22">
        <v>12.055</v>
      </c>
      <c r="M45" s="22">
        <v>4.1000000000000002E-2</v>
      </c>
      <c r="N45" s="22">
        <v>0.47599999999999998</v>
      </c>
      <c r="O45" s="22">
        <v>0.27100000000000002</v>
      </c>
      <c r="P45" s="22">
        <v>0.10100000000000001</v>
      </c>
      <c r="Q45" s="22">
        <v>5.2629999999999999</v>
      </c>
      <c r="R45" s="22">
        <v>0.38</v>
      </c>
      <c r="S45" s="22">
        <v>4.0330000000000004</v>
      </c>
      <c r="T45" s="22">
        <v>3.415</v>
      </c>
      <c r="U45" s="22">
        <v>3.7240000000000002</v>
      </c>
      <c r="V45" s="22">
        <v>0.747</v>
      </c>
    </row>
    <row r="46" spans="1:22" s="1" customFormat="1">
      <c r="A46" s="23" t="s">
        <v>193</v>
      </c>
      <c r="B46" s="20" t="s">
        <v>133</v>
      </c>
      <c r="C46" s="23" t="s">
        <v>192</v>
      </c>
      <c r="D46" s="23" t="s">
        <v>44</v>
      </c>
      <c r="E46" s="25">
        <v>15575905</v>
      </c>
      <c r="F46" s="25">
        <v>15578740</v>
      </c>
      <c r="G46" s="23" t="s">
        <v>44</v>
      </c>
      <c r="H46" s="25">
        <v>15667738</v>
      </c>
      <c r="I46" s="25">
        <v>15670573</v>
      </c>
      <c r="J46" s="26">
        <v>12.593</v>
      </c>
      <c r="K46" s="26">
        <v>4.3689999999999998</v>
      </c>
      <c r="L46" s="26">
        <v>16.960999999999999</v>
      </c>
      <c r="M46" s="26">
        <v>7.2999999999999995E-2</v>
      </c>
      <c r="N46" s="26">
        <v>0.626</v>
      </c>
      <c r="O46" s="26">
        <v>0.377</v>
      </c>
      <c r="P46" s="26">
        <v>0.14899999999999999</v>
      </c>
      <c r="Q46" s="26">
        <v>3.246</v>
      </c>
      <c r="R46" s="26">
        <v>0.52900000000000003</v>
      </c>
      <c r="S46" s="26">
        <v>6.0149999999999997</v>
      </c>
      <c r="T46" s="26">
        <v>4.6020000000000003</v>
      </c>
      <c r="U46" s="26">
        <v>5.3079999999999998</v>
      </c>
      <c r="V46" s="26">
        <v>1.0029999999999999</v>
      </c>
    </row>
    <row r="47" spans="1:22" s="1" customFormat="1">
      <c r="A47" s="13" t="s">
        <v>10</v>
      </c>
      <c r="B47" s="24" t="s">
        <v>135</v>
      </c>
      <c r="C47" s="13" t="s">
        <v>136</v>
      </c>
      <c r="D47" s="13" t="s">
        <v>44</v>
      </c>
      <c r="E47" s="21">
        <v>15610488</v>
      </c>
      <c r="F47" s="21">
        <v>15611188</v>
      </c>
      <c r="G47" s="13" t="s">
        <v>44</v>
      </c>
      <c r="H47" s="21">
        <v>15702321</v>
      </c>
      <c r="I47" s="21">
        <v>15703021</v>
      </c>
      <c r="J47" s="22">
        <v>11.473000000000001</v>
      </c>
      <c r="K47" s="22">
        <v>6.5590000000000002</v>
      </c>
      <c r="L47" s="22">
        <v>18.030999999999999</v>
      </c>
      <c r="M47" s="22">
        <v>2.8000000000000001E-2</v>
      </c>
      <c r="N47" s="22">
        <v>0.60099999999999998</v>
      </c>
      <c r="O47" s="22">
        <v>0.33700000000000002</v>
      </c>
      <c r="P47" s="22">
        <v>4.8000000000000001E-2</v>
      </c>
      <c r="Q47" s="22">
        <v>1.677</v>
      </c>
      <c r="R47" s="22">
        <v>0.85699999999999998</v>
      </c>
      <c r="S47" s="22">
        <v>3.4830000000000001</v>
      </c>
      <c r="T47" s="22">
        <v>2.9740000000000002</v>
      </c>
      <c r="U47" s="22">
        <v>3.2290000000000001</v>
      </c>
      <c r="V47" s="22">
        <v>0.93799999999999994</v>
      </c>
    </row>
    <row r="48" spans="1:22" s="1" customFormat="1">
      <c r="A48" s="23" t="s">
        <v>194</v>
      </c>
      <c r="B48" s="20" t="s">
        <v>133</v>
      </c>
      <c r="C48" s="23" t="s">
        <v>195</v>
      </c>
      <c r="D48" s="23" t="s">
        <v>44</v>
      </c>
      <c r="E48" s="25">
        <v>15617321</v>
      </c>
      <c r="F48" s="25">
        <v>15622705</v>
      </c>
      <c r="G48" s="23" t="s">
        <v>44</v>
      </c>
      <c r="H48" s="25">
        <v>15709154</v>
      </c>
      <c r="I48" s="25">
        <v>15714538</v>
      </c>
      <c r="J48" s="26">
        <v>5.64</v>
      </c>
      <c r="K48" s="26">
        <v>4.4550000000000001</v>
      </c>
      <c r="L48" s="26">
        <v>10.095000000000001</v>
      </c>
      <c r="M48" s="26">
        <v>6.9000000000000006E-2</v>
      </c>
      <c r="N48" s="26">
        <v>0.47899999999999998</v>
      </c>
      <c r="O48" s="26">
        <v>0.30199999999999999</v>
      </c>
      <c r="P48" s="26">
        <v>5.0999999999999997E-2</v>
      </c>
      <c r="Q48" s="26">
        <v>1.792</v>
      </c>
      <c r="R48" s="26">
        <v>0.63800000000000001</v>
      </c>
      <c r="S48" s="26">
        <v>2.3839999999999999</v>
      </c>
      <c r="T48" s="26">
        <v>1.847</v>
      </c>
      <c r="U48" s="26">
        <v>2.1150000000000002</v>
      </c>
      <c r="V48" s="26">
        <v>0.78100000000000003</v>
      </c>
    </row>
    <row r="49" spans="1:22" s="1" customFormat="1">
      <c r="A49" s="13" t="s">
        <v>9</v>
      </c>
      <c r="B49" s="24" t="s">
        <v>135</v>
      </c>
      <c r="C49" s="13" t="s">
        <v>136</v>
      </c>
      <c r="D49" s="13" t="s">
        <v>44</v>
      </c>
      <c r="E49" s="21">
        <v>15620962</v>
      </c>
      <c r="F49" s="21">
        <v>15621575</v>
      </c>
      <c r="G49" s="13" t="s">
        <v>44</v>
      </c>
      <c r="H49" s="21">
        <v>15712795</v>
      </c>
      <c r="I49" s="21">
        <v>15713408</v>
      </c>
      <c r="J49" s="22">
        <v>12.093</v>
      </c>
      <c r="K49" s="22">
        <v>6.86</v>
      </c>
      <c r="L49" s="22">
        <v>18.952999999999999</v>
      </c>
      <c r="M49" s="22">
        <v>0.27700000000000002</v>
      </c>
      <c r="N49" s="22">
        <v>0.68</v>
      </c>
      <c r="O49" s="22">
        <v>0.29699999999999999</v>
      </c>
      <c r="P49" s="22">
        <v>0.08</v>
      </c>
      <c r="Q49" s="22">
        <v>0</v>
      </c>
      <c r="R49" s="22">
        <v>2.8000000000000001E-2</v>
      </c>
      <c r="S49" s="22">
        <v>3.0289999999999999</v>
      </c>
      <c r="T49" s="22">
        <v>2.5379999999999998</v>
      </c>
      <c r="U49" s="22">
        <v>2.7839999999999998</v>
      </c>
      <c r="V49" s="22">
        <v>0.97699999999999998</v>
      </c>
    </row>
    <row r="50" spans="1:22" s="1" customFormat="1">
      <c r="A50" s="23" t="s">
        <v>12</v>
      </c>
      <c r="B50" s="24" t="s">
        <v>135</v>
      </c>
      <c r="C50" s="23" t="s">
        <v>136</v>
      </c>
      <c r="D50" s="23" t="s">
        <v>44</v>
      </c>
      <c r="E50" s="25">
        <v>15658220</v>
      </c>
      <c r="F50" s="25">
        <v>15658910</v>
      </c>
      <c r="G50" s="23" t="s">
        <v>44</v>
      </c>
      <c r="H50" s="25">
        <v>15750053</v>
      </c>
      <c r="I50" s="25">
        <v>15750743</v>
      </c>
      <c r="J50" s="26">
        <v>3.1930000000000001</v>
      </c>
      <c r="K50" s="26">
        <v>6.4880000000000004</v>
      </c>
      <c r="L50" s="26">
        <v>9.6809999999999992</v>
      </c>
      <c r="M50" s="26">
        <v>2.5000000000000001E-2</v>
      </c>
      <c r="N50" s="26">
        <v>0.38200000000000001</v>
      </c>
      <c r="O50" s="26">
        <v>6.5000000000000002E-2</v>
      </c>
      <c r="P50" s="26">
        <v>2.9000000000000001E-2</v>
      </c>
      <c r="Q50" s="26">
        <v>0.14499999999999999</v>
      </c>
      <c r="R50" s="26">
        <v>0</v>
      </c>
      <c r="S50" s="26">
        <v>1.7929999999999999</v>
      </c>
      <c r="T50" s="26">
        <v>1.4870000000000001</v>
      </c>
      <c r="U50" s="26">
        <v>1.64</v>
      </c>
      <c r="V50" s="26">
        <v>0.44600000000000001</v>
      </c>
    </row>
    <row r="51" spans="1:22" s="1" customFormat="1">
      <c r="A51" s="13" t="s">
        <v>196</v>
      </c>
      <c r="B51" s="20" t="s">
        <v>133</v>
      </c>
      <c r="C51" s="13" t="s">
        <v>177</v>
      </c>
      <c r="D51" s="13" t="s">
        <v>44</v>
      </c>
      <c r="E51" s="21">
        <v>15663622</v>
      </c>
      <c r="F51" s="21">
        <v>15670352</v>
      </c>
      <c r="G51" s="13" t="s">
        <v>44</v>
      </c>
      <c r="H51" s="21">
        <v>15755455</v>
      </c>
      <c r="I51" s="21">
        <v>15762185</v>
      </c>
      <c r="J51" s="22">
        <v>7.27</v>
      </c>
      <c r="K51" s="22">
        <v>3.907</v>
      </c>
      <c r="L51" s="22">
        <v>11.177</v>
      </c>
      <c r="M51" s="22">
        <v>4.5999999999999999E-2</v>
      </c>
      <c r="N51" s="22">
        <v>0.78300000000000003</v>
      </c>
      <c r="O51" s="22">
        <v>0.29499999999999998</v>
      </c>
      <c r="P51" s="22">
        <v>0.13500000000000001</v>
      </c>
      <c r="Q51" s="22">
        <v>0.245</v>
      </c>
      <c r="R51" s="22">
        <v>0.35299999999999998</v>
      </c>
      <c r="S51" s="22">
        <v>5.6029999999999998</v>
      </c>
      <c r="T51" s="22">
        <v>3.536</v>
      </c>
      <c r="U51" s="22">
        <v>4.569</v>
      </c>
      <c r="V51" s="22">
        <v>1.0780000000000001</v>
      </c>
    </row>
    <row r="52" spans="1:22" s="1" customFormat="1">
      <c r="A52" s="23" t="s">
        <v>197</v>
      </c>
      <c r="B52" s="20" t="s">
        <v>133</v>
      </c>
      <c r="C52" s="23" t="s">
        <v>198</v>
      </c>
      <c r="D52" s="23" t="s">
        <v>44</v>
      </c>
      <c r="E52" s="25">
        <v>15664357</v>
      </c>
      <c r="F52" s="25">
        <v>15665305</v>
      </c>
      <c r="G52" s="23" t="s">
        <v>44</v>
      </c>
      <c r="H52" s="25">
        <v>15756190</v>
      </c>
      <c r="I52" s="25">
        <v>15757138</v>
      </c>
      <c r="J52" s="26">
        <v>20.268999999999998</v>
      </c>
      <c r="K52" s="26">
        <v>5.8929999999999998</v>
      </c>
      <c r="L52" s="26">
        <v>26.161999999999999</v>
      </c>
      <c r="M52" s="26">
        <v>0.23200000000000001</v>
      </c>
      <c r="N52" s="26">
        <v>1.6120000000000001</v>
      </c>
      <c r="O52" s="26">
        <v>0.43</v>
      </c>
      <c r="P52" s="26">
        <v>0.32800000000000001</v>
      </c>
      <c r="Q52" s="26">
        <v>5.2999999999999999E-2</v>
      </c>
      <c r="R52" s="26">
        <v>0.89800000000000002</v>
      </c>
      <c r="S52" s="26">
        <v>23.622</v>
      </c>
      <c r="T52" s="26">
        <v>12.916</v>
      </c>
      <c r="U52" s="26">
        <v>18.268999999999998</v>
      </c>
      <c r="V52" s="26">
        <v>2.0419999999999998</v>
      </c>
    </row>
    <row r="53" spans="1:22" s="1" customFormat="1">
      <c r="A53" s="13" t="s">
        <v>13</v>
      </c>
      <c r="B53" s="24" t="s">
        <v>135</v>
      </c>
      <c r="C53" s="13" t="s">
        <v>136</v>
      </c>
      <c r="D53" s="13" t="s">
        <v>44</v>
      </c>
      <c r="E53" s="21">
        <v>15706515</v>
      </c>
      <c r="F53" s="21">
        <v>15706940</v>
      </c>
      <c r="G53" s="13" t="s">
        <v>44</v>
      </c>
      <c r="H53" s="21">
        <v>15798348</v>
      </c>
      <c r="I53" s="21">
        <v>15798773</v>
      </c>
      <c r="J53" s="22">
        <v>6.6849999999999996</v>
      </c>
      <c r="K53" s="22">
        <v>3.5950000000000002</v>
      </c>
      <c r="L53" s="22">
        <v>10.28</v>
      </c>
      <c r="M53" s="22">
        <v>-7.0000000000000001E-3</v>
      </c>
      <c r="N53" s="22">
        <v>0.28100000000000003</v>
      </c>
      <c r="O53" s="22">
        <v>9.5000000000000001E-2</v>
      </c>
      <c r="P53" s="22">
        <v>0</v>
      </c>
      <c r="Q53" s="22">
        <v>7.7229999999999999</v>
      </c>
      <c r="R53" s="22">
        <v>0.61399999999999999</v>
      </c>
      <c r="S53" s="22">
        <v>1.8540000000000001</v>
      </c>
      <c r="T53" s="22">
        <v>1.409</v>
      </c>
      <c r="U53" s="22">
        <v>1.6319999999999999</v>
      </c>
      <c r="V53" s="22">
        <v>0.377</v>
      </c>
    </row>
    <row r="54" spans="1:22" s="1" customFormat="1">
      <c r="A54" s="23" t="s">
        <v>199</v>
      </c>
      <c r="B54" s="20" t="s">
        <v>133</v>
      </c>
      <c r="C54" s="23" t="s">
        <v>200</v>
      </c>
      <c r="D54" s="23" t="s">
        <v>44</v>
      </c>
      <c r="E54" s="25">
        <v>15706967</v>
      </c>
      <c r="F54" s="25">
        <v>15711848</v>
      </c>
      <c r="G54" s="23" t="s">
        <v>44</v>
      </c>
      <c r="H54" s="25">
        <v>15798800</v>
      </c>
      <c r="I54" s="25">
        <v>15803681</v>
      </c>
      <c r="J54" s="26">
        <v>6.87</v>
      </c>
      <c r="K54" s="26">
        <v>4.4669999999999996</v>
      </c>
      <c r="L54" s="26">
        <v>11.337</v>
      </c>
      <c r="M54" s="26">
        <v>-8.0000000000000002E-3</v>
      </c>
      <c r="N54" s="26">
        <v>0.32</v>
      </c>
      <c r="O54" s="26">
        <v>0.35399999999999998</v>
      </c>
      <c r="P54" s="26">
        <v>3.2000000000000001E-2</v>
      </c>
      <c r="Q54" s="26">
        <v>2.1999999999999999E-2</v>
      </c>
      <c r="R54" s="26">
        <v>0.31</v>
      </c>
      <c r="S54" s="26">
        <v>2.4670000000000001</v>
      </c>
      <c r="T54" s="26">
        <v>1.2789999999999999</v>
      </c>
      <c r="U54" s="26">
        <v>1.873</v>
      </c>
      <c r="V54" s="26">
        <v>0.67400000000000004</v>
      </c>
    </row>
    <row r="55" spans="1:22" s="1" customFormat="1">
      <c r="A55" s="13" t="s">
        <v>201</v>
      </c>
      <c r="B55" s="20" t="s">
        <v>133</v>
      </c>
      <c r="C55" s="13" t="s">
        <v>162</v>
      </c>
      <c r="D55" s="13" t="s">
        <v>44</v>
      </c>
      <c r="E55" s="21">
        <v>15711741</v>
      </c>
      <c r="F55" s="21">
        <v>15716673</v>
      </c>
      <c r="G55" s="13" t="s">
        <v>44</v>
      </c>
      <c r="H55" s="21">
        <v>15803574</v>
      </c>
      <c r="I55" s="21">
        <v>15808506</v>
      </c>
      <c r="J55" s="22">
        <v>6.0220000000000002</v>
      </c>
      <c r="K55" s="22">
        <v>4.5940000000000003</v>
      </c>
      <c r="L55" s="22">
        <v>10.616</v>
      </c>
      <c r="M55" s="22">
        <v>-1.7999999999999999E-2</v>
      </c>
      <c r="N55" s="22">
        <v>0.20799999999999999</v>
      </c>
      <c r="O55" s="22">
        <v>0.18</v>
      </c>
      <c r="P55" s="22">
        <v>3.9E-2</v>
      </c>
      <c r="Q55" s="22">
        <v>3.234</v>
      </c>
      <c r="R55" s="22">
        <v>0.309</v>
      </c>
      <c r="S55" s="22">
        <v>2.2130000000000001</v>
      </c>
      <c r="T55" s="22">
        <v>1.304</v>
      </c>
      <c r="U55" s="22">
        <v>1.7589999999999999</v>
      </c>
      <c r="V55" s="22">
        <v>0.38800000000000001</v>
      </c>
    </row>
    <row r="56" spans="1:22" s="1" customFormat="1">
      <c r="A56" s="23" t="s">
        <v>202</v>
      </c>
      <c r="B56" s="20" t="s">
        <v>133</v>
      </c>
      <c r="C56" s="23" t="s">
        <v>147</v>
      </c>
      <c r="D56" s="23" t="s">
        <v>44</v>
      </c>
      <c r="E56" s="25">
        <v>15754221</v>
      </c>
      <c r="F56" s="25">
        <v>15759133</v>
      </c>
      <c r="G56" s="23" t="s">
        <v>44</v>
      </c>
      <c r="H56" s="25">
        <v>15846054</v>
      </c>
      <c r="I56" s="25">
        <v>15850966</v>
      </c>
      <c r="J56" s="26">
        <v>4.7960000000000003</v>
      </c>
      <c r="K56" s="26">
        <v>3.6190000000000002</v>
      </c>
      <c r="L56" s="26">
        <v>8.4139999999999997</v>
      </c>
      <c r="M56" s="26">
        <v>-1.6E-2</v>
      </c>
      <c r="N56" s="26">
        <v>0.27200000000000002</v>
      </c>
      <c r="O56" s="26">
        <v>0.29799999999999999</v>
      </c>
      <c r="P56" s="26">
        <v>0.25</v>
      </c>
      <c r="Q56" s="26">
        <v>5.633</v>
      </c>
      <c r="R56" s="26">
        <v>0.36599999999999999</v>
      </c>
      <c r="S56" s="26">
        <v>1.7390000000000001</v>
      </c>
      <c r="T56" s="26">
        <v>1.341</v>
      </c>
      <c r="U56" s="26">
        <v>1.54</v>
      </c>
      <c r="V56" s="26">
        <v>0.56999999999999995</v>
      </c>
    </row>
    <row r="57" spans="1:22" s="1" customFormat="1">
      <c r="A57" s="13" t="s">
        <v>203</v>
      </c>
      <c r="B57" s="20" t="s">
        <v>133</v>
      </c>
      <c r="C57" s="13" t="s">
        <v>166</v>
      </c>
      <c r="D57" s="13" t="s">
        <v>44</v>
      </c>
      <c r="E57" s="21">
        <v>15762279</v>
      </c>
      <c r="F57" s="21">
        <v>15766698</v>
      </c>
      <c r="G57" s="13" t="s">
        <v>44</v>
      </c>
      <c r="H57" s="21">
        <v>15854112</v>
      </c>
      <c r="I57" s="21">
        <v>15858531</v>
      </c>
      <c r="J57" s="22">
        <v>6.1779999999999999</v>
      </c>
      <c r="K57" s="22">
        <v>3.9670000000000001</v>
      </c>
      <c r="L57" s="22">
        <v>10.146000000000001</v>
      </c>
      <c r="M57" s="22">
        <v>7.0000000000000001E-3</v>
      </c>
      <c r="N57" s="22">
        <v>0.185</v>
      </c>
      <c r="O57" s="22">
        <v>0.23400000000000001</v>
      </c>
      <c r="P57" s="22">
        <v>2.3E-2</v>
      </c>
      <c r="Q57" s="22">
        <v>0.90700000000000003</v>
      </c>
      <c r="R57" s="22">
        <v>0.14000000000000001</v>
      </c>
      <c r="S57" s="22">
        <v>1.851</v>
      </c>
      <c r="T57" s="22">
        <v>1.38</v>
      </c>
      <c r="U57" s="22">
        <v>1.615</v>
      </c>
      <c r="V57" s="22">
        <v>0.41899999999999998</v>
      </c>
    </row>
    <row r="58" spans="1:22" s="1" customFormat="1">
      <c r="A58" s="23" t="s">
        <v>204</v>
      </c>
      <c r="B58" s="20" t="s">
        <v>133</v>
      </c>
      <c r="C58" s="23" t="s">
        <v>205</v>
      </c>
      <c r="D58" s="23" t="s">
        <v>44</v>
      </c>
      <c r="E58" s="25">
        <v>15866641</v>
      </c>
      <c r="F58" s="25">
        <v>15869682</v>
      </c>
      <c r="G58" s="23" t="s">
        <v>44</v>
      </c>
      <c r="H58" s="25">
        <v>15958474</v>
      </c>
      <c r="I58" s="25">
        <v>15961515</v>
      </c>
      <c r="J58" s="26">
        <v>31.231000000000002</v>
      </c>
      <c r="K58" s="26">
        <v>6.931</v>
      </c>
      <c r="L58" s="26">
        <v>38.161000000000001</v>
      </c>
      <c r="M58" s="26">
        <v>9.9000000000000005E-2</v>
      </c>
      <c r="N58" s="26">
        <v>1.022</v>
      </c>
      <c r="O58" s="26">
        <v>0.35899999999999999</v>
      </c>
      <c r="P58" s="26">
        <v>0.21199999999999999</v>
      </c>
      <c r="Q58" s="26">
        <v>0</v>
      </c>
      <c r="R58" s="26">
        <v>0.98699999999999999</v>
      </c>
      <c r="S58" s="26">
        <v>5.5670000000000002</v>
      </c>
      <c r="T58" s="26">
        <v>5.5979999999999999</v>
      </c>
      <c r="U58" s="26">
        <v>5.5830000000000002</v>
      </c>
      <c r="V58" s="26">
        <v>1.381</v>
      </c>
    </row>
    <row r="59" spans="1:22" s="32" customFormat="1" ht="0.6" customHeight="1"/>
    <row r="60" spans="1:22" s="31" customFormat="1" ht="15" customHeight="1">
      <c r="A60" s="30" t="s">
        <v>206</v>
      </c>
    </row>
    <row r="61" spans="1:22" ht="34.200000000000003" customHeight="1">
      <c r="A61" s="19" t="s">
        <v>207</v>
      </c>
      <c r="B61" s="17" t="s">
        <v>208</v>
      </c>
      <c r="C61" s="18"/>
      <c r="D61" s="18"/>
      <c r="E61" s="18"/>
      <c r="F61" s="18"/>
      <c r="G61" s="18"/>
      <c r="H61" s="18"/>
      <c r="I61" s="18"/>
      <c r="J61" s="18"/>
      <c r="K61" s="18"/>
      <c r="L61" s="18"/>
      <c r="M61" s="18"/>
      <c r="N61" s="18"/>
      <c r="O61" s="18"/>
      <c r="P61" s="18"/>
      <c r="Q61" s="18"/>
      <c r="R61" s="18"/>
      <c r="S61" s="18"/>
      <c r="T61" s="18"/>
      <c r="U61" s="18"/>
      <c r="V61" s="18"/>
    </row>
    <row r="62" spans="1:22" ht="62.4" customHeight="1">
      <c r="A62" s="19" t="s">
        <v>209</v>
      </c>
      <c r="B62" s="17" t="s">
        <v>210</v>
      </c>
      <c r="C62" s="18"/>
      <c r="D62" s="18"/>
      <c r="E62" s="18"/>
      <c r="F62" s="18"/>
      <c r="G62" s="18"/>
      <c r="H62" s="18"/>
      <c r="I62" s="18"/>
      <c r="J62" s="18"/>
      <c r="K62" s="18"/>
      <c r="L62" s="18"/>
      <c r="M62" s="18"/>
      <c r="N62" s="18"/>
      <c r="O62" s="18"/>
      <c r="P62" s="18"/>
      <c r="Q62" s="18"/>
      <c r="R62" s="18"/>
      <c r="S62" s="18"/>
      <c r="T62" s="18"/>
      <c r="U62" s="18"/>
      <c r="V62" s="18"/>
    </row>
    <row r="63" spans="1:22" ht="48" customHeight="1">
      <c r="A63" s="19" t="s">
        <v>211</v>
      </c>
      <c r="B63" s="17" t="s">
        <v>212</v>
      </c>
      <c r="C63" s="18"/>
      <c r="D63" s="18"/>
      <c r="E63" s="18"/>
      <c r="F63" s="18"/>
      <c r="G63" s="18"/>
      <c r="H63" s="18"/>
      <c r="I63" s="18"/>
      <c r="J63" s="18"/>
      <c r="K63" s="18"/>
      <c r="L63" s="18"/>
      <c r="M63" s="18"/>
      <c r="N63" s="18"/>
      <c r="O63" s="18"/>
      <c r="P63" s="18"/>
      <c r="Q63" s="18"/>
      <c r="R63" s="18"/>
      <c r="S63" s="18"/>
      <c r="T63" s="18"/>
      <c r="U63" s="18"/>
      <c r="V63" s="18"/>
    </row>
    <row r="64" spans="1:22" ht="30" customHeight="1">
      <c r="A64" s="19" t="s">
        <v>213</v>
      </c>
      <c r="B64" s="17" t="s">
        <v>214</v>
      </c>
      <c r="C64" s="18"/>
      <c r="D64" s="18"/>
      <c r="E64" s="18"/>
      <c r="F64" s="18"/>
      <c r="G64" s="18"/>
      <c r="H64" s="18"/>
      <c r="I64" s="18"/>
      <c r="J64" s="18"/>
      <c r="K64" s="18"/>
      <c r="L64" s="18"/>
      <c r="M64" s="18"/>
      <c r="N64" s="18"/>
      <c r="O64" s="18"/>
      <c r="P64" s="18"/>
      <c r="Q64" s="18"/>
      <c r="R64" s="18"/>
      <c r="S64" s="18"/>
      <c r="T64" s="18"/>
      <c r="U64" s="18"/>
      <c r="V64" s="18"/>
    </row>
    <row r="65" spans="1:22" ht="53.4" customHeight="1">
      <c r="A65" s="19" t="s">
        <v>215</v>
      </c>
      <c r="B65" s="17" t="s">
        <v>306</v>
      </c>
      <c r="C65" s="18"/>
      <c r="D65" s="18"/>
      <c r="E65" s="18"/>
      <c r="F65" s="18"/>
      <c r="G65" s="18"/>
      <c r="H65" s="18"/>
      <c r="I65" s="18"/>
      <c r="J65" s="18"/>
      <c r="K65" s="18"/>
      <c r="L65" s="18"/>
      <c r="M65" s="18"/>
      <c r="N65" s="18"/>
      <c r="O65" s="18"/>
      <c r="P65" s="18"/>
      <c r="Q65" s="18"/>
      <c r="R65" s="18"/>
      <c r="S65" s="18"/>
      <c r="T65" s="18"/>
      <c r="U65" s="18"/>
      <c r="V65" s="18"/>
    </row>
    <row r="66" spans="1:22" ht="60.6" customHeight="1">
      <c r="A66" s="19" t="s">
        <v>216</v>
      </c>
      <c r="B66" s="17" t="s">
        <v>217</v>
      </c>
      <c r="C66" s="18"/>
      <c r="D66" s="18"/>
      <c r="E66" s="18"/>
      <c r="F66" s="18"/>
      <c r="G66" s="18"/>
      <c r="H66" s="18"/>
      <c r="I66" s="18"/>
      <c r="J66" s="18"/>
      <c r="K66" s="18"/>
      <c r="L66" s="18"/>
      <c r="M66" s="18"/>
      <c r="N66" s="18"/>
      <c r="O66" s="18"/>
      <c r="P66" s="18"/>
      <c r="Q66" s="18"/>
      <c r="R66" s="18"/>
      <c r="S66" s="18"/>
      <c r="T66" s="18"/>
      <c r="U66" s="18"/>
      <c r="V66" s="18"/>
    </row>
    <row r="67" spans="1:22" ht="31.2" customHeight="1">
      <c r="A67" s="19" t="s">
        <v>218</v>
      </c>
      <c r="B67" s="17" t="s">
        <v>219</v>
      </c>
      <c r="C67" s="18"/>
      <c r="D67" s="18"/>
      <c r="E67" s="18"/>
      <c r="F67" s="18"/>
      <c r="G67" s="18"/>
      <c r="H67" s="18"/>
      <c r="I67" s="18"/>
      <c r="J67" s="18"/>
      <c r="K67" s="18"/>
      <c r="L67" s="18"/>
      <c r="M67" s="18"/>
      <c r="N67" s="18"/>
      <c r="O67" s="18"/>
      <c r="P67" s="18"/>
      <c r="Q67" s="18"/>
      <c r="R67" s="18"/>
      <c r="S67" s="18"/>
      <c r="T67" s="18"/>
      <c r="U67" s="18"/>
      <c r="V67" s="18"/>
    </row>
    <row r="68" spans="1:22" ht="38.4" customHeight="1">
      <c r="A68" s="19" t="s">
        <v>220</v>
      </c>
      <c r="B68" s="17" t="s">
        <v>221</v>
      </c>
      <c r="C68" s="18"/>
      <c r="D68" s="18"/>
      <c r="E68" s="18"/>
      <c r="F68" s="18"/>
      <c r="G68" s="18"/>
      <c r="H68" s="18"/>
      <c r="I68" s="18"/>
      <c r="J68" s="18"/>
      <c r="K68" s="18"/>
      <c r="L68" s="18"/>
      <c r="M68" s="18"/>
      <c r="N68" s="18"/>
      <c r="O68" s="18"/>
      <c r="P68" s="18"/>
      <c r="Q68" s="18"/>
      <c r="R68" s="18"/>
      <c r="S68" s="18"/>
      <c r="T68" s="18"/>
      <c r="U68" s="18"/>
      <c r="V68" s="18"/>
    </row>
    <row r="69" spans="1:22" ht="47.4" customHeight="1">
      <c r="A69" s="19" t="s">
        <v>276</v>
      </c>
      <c r="B69" s="17" t="s">
        <v>277</v>
      </c>
      <c r="C69" s="18"/>
      <c r="D69" s="18"/>
      <c r="E69" s="18"/>
      <c r="F69" s="18"/>
      <c r="G69" s="18"/>
      <c r="H69" s="18"/>
      <c r="I69" s="18"/>
      <c r="J69" s="18"/>
      <c r="K69" s="18"/>
      <c r="L69" s="18"/>
      <c r="M69" s="18"/>
      <c r="N69" s="18"/>
      <c r="O69" s="18"/>
      <c r="P69" s="18"/>
      <c r="Q69" s="18"/>
      <c r="R69" s="18"/>
      <c r="S69" s="18"/>
      <c r="T69" s="18"/>
      <c r="U69" s="18"/>
      <c r="V69" s="18"/>
    </row>
    <row r="70" spans="1:22" ht="76.8" customHeight="1">
      <c r="A70" s="19" t="s">
        <v>222</v>
      </c>
      <c r="B70" s="17" t="s">
        <v>223</v>
      </c>
      <c r="C70" s="18"/>
      <c r="D70" s="18"/>
      <c r="E70" s="18"/>
      <c r="F70" s="18"/>
      <c r="G70" s="18"/>
      <c r="H70" s="18"/>
      <c r="I70" s="18"/>
      <c r="J70" s="18"/>
      <c r="K70" s="18"/>
      <c r="L70" s="18"/>
      <c r="M70" s="18"/>
      <c r="N70" s="18"/>
      <c r="O70" s="18"/>
      <c r="P70" s="18"/>
      <c r="Q70" s="18"/>
      <c r="R70" s="18"/>
      <c r="S70" s="18"/>
      <c r="T70" s="18"/>
      <c r="U70" s="18"/>
      <c r="V70" s="18"/>
    </row>
    <row r="71" spans="1:22" ht="57.6" customHeight="1">
      <c r="A71" s="19" t="s">
        <v>224</v>
      </c>
      <c r="B71" s="17" t="s">
        <v>225</v>
      </c>
      <c r="C71" s="18"/>
      <c r="D71" s="18"/>
      <c r="E71" s="18"/>
      <c r="F71" s="18"/>
      <c r="G71" s="18"/>
      <c r="H71" s="18"/>
      <c r="I71" s="18"/>
      <c r="J71" s="18"/>
      <c r="K71" s="18"/>
      <c r="L71" s="18"/>
      <c r="M71" s="18"/>
      <c r="N71" s="18"/>
      <c r="O71" s="18"/>
      <c r="P71" s="18"/>
      <c r="Q71" s="18"/>
      <c r="R71" s="18"/>
      <c r="S71" s="18"/>
      <c r="T71" s="18"/>
      <c r="U71" s="18"/>
      <c r="V71" s="18"/>
    </row>
    <row r="72" spans="1:22" ht="42" customHeight="1">
      <c r="A72" s="19" t="s">
        <v>226</v>
      </c>
      <c r="B72" s="17" t="s">
        <v>227</v>
      </c>
      <c r="C72" s="18"/>
      <c r="D72" s="18"/>
      <c r="E72" s="18"/>
      <c r="F72" s="18"/>
      <c r="G72" s="18"/>
      <c r="H72" s="18"/>
      <c r="I72" s="18"/>
      <c r="J72" s="18"/>
      <c r="K72" s="18"/>
      <c r="L72" s="18"/>
      <c r="M72" s="18"/>
      <c r="N72" s="18"/>
      <c r="O72" s="18"/>
      <c r="P72" s="18"/>
      <c r="Q72" s="18"/>
      <c r="R72" s="18"/>
      <c r="S72" s="18"/>
      <c r="T72" s="18"/>
      <c r="U72" s="18"/>
      <c r="V72" s="18"/>
    </row>
  </sheetData>
  <mergeCells count="1">
    <mergeCell ref="A1:V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2"/>
  <sheetViews>
    <sheetView workbookViewId="0">
      <pane ySplit="4" topLeftCell="A5" activePane="bottomLeft" state="frozen"/>
      <selection pane="bottomLeft" activeCell="I14" sqref="I14"/>
    </sheetView>
  </sheetViews>
  <sheetFormatPr defaultRowHeight="14.4"/>
  <cols>
    <col min="1" max="1" width="34" customWidth="1"/>
    <col min="2" max="2" width="14" customWidth="1"/>
    <col min="3" max="3" width="8" customWidth="1"/>
    <col min="4" max="7" width="14" customWidth="1"/>
    <col min="8" max="8" width="48.21875" customWidth="1"/>
  </cols>
  <sheetData>
    <row r="1" spans="1:8" s="50" customFormat="1" ht="18" customHeight="1">
      <c r="A1" s="109" t="s">
        <v>228</v>
      </c>
      <c r="B1" s="109"/>
      <c r="C1" s="109"/>
      <c r="D1" s="109"/>
      <c r="E1" s="109"/>
      <c r="F1" s="109"/>
      <c r="G1" s="109"/>
      <c r="H1" s="109"/>
    </row>
    <row r="2" spans="1:8" ht="0.6" customHeight="1"/>
    <row r="3" spans="1:8" ht="16.2" customHeight="1"/>
    <row r="4" spans="1:8">
      <c r="A4" s="70" t="s">
        <v>229</v>
      </c>
      <c r="B4" s="70" t="s">
        <v>48</v>
      </c>
      <c r="C4" s="70" t="s">
        <v>230</v>
      </c>
      <c r="D4" s="70" t="s">
        <v>231</v>
      </c>
      <c r="E4" s="70" t="s">
        <v>232</v>
      </c>
      <c r="F4" s="70" t="s">
        <v>233</v>
      </c>
      <c r="G4" s="70" t="s">
        <v>234</v>
      </c>
      <c r="H4" s="70" t="s">
        <v>235</v>
      </c>
    </row>
    <row r="5" spans="1:8" ht="28.8">
      <c r="A5" s="13" t="s">
        <v>122</v>
      </c>
      <c r="B5" s="24" t="s">
        <v>135</v>
      </c>
      <c r="C5" s="13">
        <v>13</v>
      </c>
      <c r="D5" s="13">
        <v>9.9410000000000007</v>
      </c>
      <c r="E5" s="13">
        <v>8.7539999999999996</v>
      </c>
      <c r="F5" s="13">
        <v>0</v>
      </c>
      <c r="G5" s="13">
        <v>30.795999999999999</v>
      </c>
      <c r="H5" s="13" t="s">
        <v>236</v>
      </c>
    </row>
    <row r="6" spans="1:8" ht="28.8">
      <c r="A6" s="13" t="s">
        <v>122</v>
      </c>
      <c r="B6" s="20" t="s">
        <v>133</v>
      </c>
      <c r="C6" s="13">
        <v>41</v>
      </c>
      <c r="D6" s="13">
        <v>17.228999999999999</v>
      </c>
      <c r="E6" s="13">
        <v>10.146000000000001</v>
      </c>
      <c r="F6" s="13">
        <v>3.335</v>
      </c>
      <c r="G6" s="13">
        <v>108.51</v>
      </c>
      <c r="H6" s="13" t="s">
        <v>236</v>
      </c>
    </row>
    <row r="7" spans="1:8" ht="28.8">
      <c r="A7" s="13" t="s">
        <v>123</v>
      </c>
      <c r="B7" s="24" t="s">
        <v>135</v>
      </c>
      <c r="C7" s="13">
        <v>13</v>
      </c>
      <c r="D7" s="13">
        <v>2.5999999999999999E-2</v>
      </c>
      <c r="E7" s="13">
        <v>-7.0000000000000001E-3</v>
      </c>
      <c r="F7" s="13">
        <v>-1.7999999999999999E-2</v>
      </c>
      <c r="G7" s="13">
        <v>0.27700000000000002</v>
      </c>
      <c r="H7" s="13" t="s">
        <v>236</v>
      </c>
    </row>
    <row r="8" spans="1:8" ht="28.8">
      <c r="A8" s="13" t="s">
        <v>123</v>
      </c>
      <c r="B8" s="20" t="s">
        <v>133</v>
      </c>
      <c r="C8" s="13">
        <v>41</v>
      </c>
      <c r="D8" s="13">
        <v>1.4999999999999999E-2</v>
      </c>
      <c r="E8" s="13">
        <v>-4.0000000000000001E-3</v>
      </c>
      <c r="F8" s="13">
        <v>-0.05</v>
      </c>
      <c r="G8" s="13">
        <v>0.23200000000000001</v>
      </c>
      <c r="H8" s="13" t="s">
        <v>236</v>
      </c>
    </row>
    <row r="9" spans="1:8" ht="28.8">
      <c r="A9" s="13" t="s">
        <v>124</v>
      </c>
      <c r="B9" s="24" t="s">
        <v>135</v>
      </c>
      <c r="C9" s="13">
        <v>13</v>
      </c>
      <c r="D9" s="13">
        <v>0.36</v>
      </c>
      <c r="E9" s="13">
        <v>0.28100000000000003</v>
      </c>
      <c r="F9" s="13">
        <v>0</v>
      </c>
      <c r="G9" s="13">
        <v>1.528</v>
      </c>
      <c r="H9" s="13" t="s">
        <v>236</v>
      </c>
    </row>
    <row r="10" spans="1:8" ht="28.8">
      <c r="A10" s="13" t="s">
        <v>124</v>
      </c>
      <c r="B10" s="20" t="s">
        <v>133</v>
      </c>
      <c r="C10" s="13">
        <v>41</v>
      </c>
      <c r="D10" s="13">
        <v>0.51600000000000001</v>
      </c>
      <c r="E10" s="13">
        <v>0.39600000000000002</v>
      </c>
      <c r="F10" s="13">
        <v>6.9000000000000006E-2</v>
      </c>
      <c r="G10" s="13">
        <v>1.7989999999999999</v>
      </c>
      <c r="H10" s="13" t="s">
        <v>236</v>
      </c>
    </row>
    <row r="11" spans="1:8" ht="28.8">
      <c r="A11" s="13" t="s">
        <v>125</v>
      </c>
      <c r="B11" s="24" t="s">
        <v>135</v>
      </c>
      <c r="C11" s="13">
        <v>13</v>
      </c>
      <c r="D11" s="13">
        <v>0.17299999999999999</v>
      </c>
      <c r="E11" s="13">
        <v>0.123</v>
      </c>
      <c r="F11" s="13">
        <v>0</v>
      </c>
      <c r="G11" s="13">
        <v>0.56100000000000005</v>
      </c>
      <c r="H11" s="13" t="s">
        <v>236</v>
      </c>
    </row>
    <row r="12" spans="1:8" ht="28.8">
      <c r="A12" s="13" t="s">
        <v>125</v>
      </c>
      <c r="B12" s="20" t="s">
        <v>133</v>
      </c>
      <c r="C12" s="13">
        <v>41</v>
      </c>
      <c r="D12" s="13">
        <v>0.28699999999999998</v>
      </c>
      <c r="E12" s="13">
        <v>0.25600000000000001</v>
      </c>
      <c r="F12" s="13">
        <v>5.7000000000000002E-2</v>
      </c>
      <c r="G12" s="13">
        <v>1.095</v>
      </c>
      <c r="H12" s="13" t="s">
        <v>236</v>
      </c>
    </row>
    <row r="13" spans="1:8" ht="28.8">
      <c r="A13" s="13" t="s">
        <v>126</v>
      </c>
      <c r="B13" s="24" t="s">
        <v>135</v>
      </c>
      <c r="C13" s="13">
        <v>13</v>
      </c>
      <c r="D13" s="13">
        <v>4.4999999999999998E-2</v>
      </c>
      <c r="E13" s="13">
        <v>3.4000000000000002E-2</v>
      </c>
      <c r="F13" s="13">
        <v>0</v>
      </c>
      <c r="G13" s="13">
        <v>0.19600000000000001</v>
      </c>
      <c r="H13" s="13" t="s">
        <v>236</v>
      </c>
    </row>
    <row r="14" spans="1:8" ht="28.8">
      <c r="A14" s="13" t="s">
        <v>126</v>
      </c>
      <c r="B14" s="20" t="s">
        <v>133</v>
      </c>
      <c r="C14" s="13">
        <v>41</v>
      </c>
      <c r="D14" s="13">
        <v>0.28399999999999997</v>
      </c>
      <c r="E14" s="13">
        <v>6.9000000000000006E-2</v>
      </c>
      <c r="F14" s="13">
        <v>0</v>
      </c>
      <c r="G14" s="13">
        <v>6.7329999999999997</v>
      </c>
      <c r="H14" s="13" t="s">
        <v>236</v>
      </c>
    </row>
    <row r="15" spans="1:8" ht="28.8">
      <c r="A15" s="13" t="s">
        <v>127</v>
      </c>
      <c r="B15" s="24" t="s">
        <v>135</v>
      </c>
      <c r="C15" s="13">
        <v>13</v>
      </c>
      <c r="D15" s="13">
        <v>1.84</v>
      </c>
      <c r="E15" s="13">
        <v>1.3129999999999999</v>
      </c>
      <c r="F15" s="13">
        <v>0</v>
      </c>
      <c r="G15" s="13">
        <v>7.7229999999999999</v>
      </c>
      <c r="H15" s="13" t="s">
        <v>236</v>
      </c>
    </row>
    <row r="16" spans="1:8" ht="28.8">
      <c r="A16" s="13" t="s">
        <v>127</v>
      </c>
      <c r="B16" s="20" t="s">
        <v>133</v>
      </c>
      <c r="C16" s="13">
        <v>41</v>
      </c>
      <c r="D16" s="13">
        <v>1.619</v>
      </c>
      <c r="E16" s="13">
        <v>1.4570000000000001</v>
      </c>
      <c r="F16" s="13">
        <v>0</v>
      </c>
      <c r="G16" s="13">
        <v>5.633</v>
      </c>
      <c r="H16" s="13" t="s">
        <v>236</v>
      </c>
    </row>
    <row r="17" spans="1:8" ht="28.8">
      <c r="A17" s="13" t="s">
        <v>128</v>
      </c>
      <c r="B17" s="24" t="s">
        <v>135</v>
      </c>
      <c r="C17" s="13">
        <v>13</v>
      </c>
      <c r="D17" s="13">
        <v>0.27400000000000002</v>
      </c>
      <c r="E17" s="13">
        <v>0.17299999999999999</v>
      </c>
      <c r="F17" s="13">
        <v>0</v>
      </c>
      <c r="G17" s="13">
        <v>0.85699999999999998</v>
      </c>
      <c r="H17" s="13" t="s">
        <v>236</v>
      </c>
    </row>
    <row r="18" spans="1:8" ht="28.8">
      <c r="A18" s="13" t="s">
        <v>128</v>
      </c>
      <c r="B18" s="20" t="s">
        <v>133</v>
      </c>
      <c r="C18" s="13">
        <v>41</v>
      </c>
      <c r="D18" s="13">
        <v>0.39900000000000002</v>
      </c>
      <c r="E18" s="13">
        <v>0.36299999999999999</v>
      </c>
      <c r="F18" s="13">
        <v>0</v>
      </c>
      <c r="G18" s="13">
        <v>1.617</v>
      </c>
      <c r="H18" s="13" t="s">
        <v>236</v>
      </c>
    </row>
    <row r="19" spans="1:8" ht="28.8">
      <c r="A19" s="13" t="s">
        <v>131</v>
      </c>
      <c r="B19" s="24" t="s">
        <v>135</v>
      </c>
      <c r="C19" s="13">
        <v>13</v>
      </c>
      <c r="D19" s="13">
        <v>1.653</v>
      </c>
      <c r="E19" s="13">
        <v>1.357</v>
      </c>
      <c r="F19" s="13">
        <v>0</v>
      </c>
      <c r="G19" s="13">
        <v>5.585</v>
      </c>
      <c r="H19" s="13" t="s">
        <v>236</v>
      </c>
    </row>
    <row r="20" spans="1:8" ht="28.8">
      <c r="A20" s="13" t="s">
        <v>131</v>
      </c>
      <c r="B20" s="20" t="s">
        <v>133</v>
      </c>
      <c r="C20" s="13">
        <v>41</v>
      </c>
      <c r="D20" s="13">
        <v>2.6579999999999999</v>
      </c>
      <c r="E20" s="13">
        <v>1.887</v>
      </c>
      <c r="F20" s="13">
        <v>0.86799999999999999</v>
      </c>
      <c r="G20" s="13">
        <v>18.268999999999998</v>
      </c>
      <c r="H20" s="13" t="s">
        <v>236</v>
      </c>
    </row>
    <row r="21" spans="1:8" ht="28.8" customHeight="1">
      <c r="A21" s="13" t="s">
        <v>275</v>
      </c>
      <c r="B21" s="24" t="s">
        <v>135</v>
      </c>
      <c r="C21" s="13">
        <v>13</v>
      </c>
      <c r="D21" s="13">
        <v>0.53200000000000003</v>
      </c>
      <c r="E21" s="13">
        <v>0.377</v>
      </c>
      <c r="F21" s="13">
        <v>0</v>
      </c>
      <c r="G21" s="13">
        <v>2.089</v>
      </c>
      <c r="H21" s="13" t="s">
        <v>236</v>
      </c>
    </row>
    <row r="22" spans="1:8" ht="28.8" customHeight="1">
      <c r="A22" s="28" t="s">
        <v>275</v>
      </c>
      <c r="B22" s="29" t="s">
        <v>133</v>
      </c>
      <c r="C22" s="28">
        <v>41</v>
      </c>
      <c r="D22" s="28">
        <v>0.80200000000000005</v>
      </c>
      <c r="E22" s="28">
        <v>0.65200000000000002</v>
      </c>
      <c r="F22" s="28">
        <v>0.126</v>
      </c>
      <c r="G22" s="28">
        <v>2.456</v>
      </c>
      <c r="H22" s="28" t="s">
        <v>236</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2"/>
  <sheetViews>
    <sheetView showGridLines="0" workbookViewId="0">
      <pane ySplit="4" topLeftCell="A7" activePane="bottomLeft" state="frozen"/>
      <selection pane="bottomLeft" activeCell="L17" sqref="L17"/>
    </sheetView>
  </sheetViews>
  <sheetFormatPr defaultRowHeight="14.4"/>
  <cols>
    <col min="1" max="1" width="34" customWidth="1"/>
    <col min="2" max="2" width="11" customWidth="1"/>
    <col min="3" max="4" width="14" customWidth="1"/>
    <col min="5" max="5" width="16" customWidth="1"/>
    <col min="6" max="6" width="14" customWidth="1"/>
    <col min="7" max="7" width="16" customWidth="1"/>
    <col min="8" max="8" width="15" customWidth="1"/>
  </cols>
  <sheetData>
    <row r="1" spans="1:8" ht="24" customHeight="1">
      <c r="A1" s="112" t="s">
        <v>237</v>
      </c>
      <c r="B1" s="99"/>
      <c r="C1" s="99"/>
      <c r="D1" s="99"/>
      <c r="E1" s="99"/>
      <c r="F1" s="99"/>
      <c r="G1" s="99"/>
      <c r="H1" s="99"/>
    </row>
    <row r="2" spans="1:8" ht="28.05" customHeight="1">
      <c r="A2" s="89" t="s">
        <v>238</v>
      </c>
      <c r="B2" s="74"/>
      <c r="C2" s="74"/>
      <c r="D2" s="74"/>
      <c r="E2" s="74"/>
      <c r="F2" s="74"/>
      <c r="G2" s="74"/>
      <c r="H2" s="74"/>
    </row>
    <row r="3" spans="1:8" ht="28.05" customHeight="1">
      <c r="A3" s="89" t="s">
        <v>239</v>
      </c>
      <c r="B3" s="74"/>
      <c r="C3" s="74"/>
      <c r="D3" s="74"/>
      <c r="E3" s="74"/>
      <c r="F3" s="74"/>
      <c r="G3" s="74"/>
      <c r="H3" s="74"/>
    </row>
    <row r="4" spans="1:8" ht="30" customHeight="1">
      <c r="A4" s="63" t="s">
        <v>229</v>
      </c>
      <c r="B4" s="63" t="s">
        <v>240</v>
      </c>
      <c r="C4" s="63" t="s">
        <v>241</v>
      </c>
      <c r="D4" s="63" t="s">
        <v>242</v>
      </c>
      <c r="E4" s="63" t="s">
        <v>243</v>
      </c>
      <c r="F4" s="63" t="s">
        <v>244</v>
      </c>
      <c r="G4" s="63" t="s">
        <v>245</v>
      </c>
      <c r="H4" s="63" t="s">
        <v>246</v>
      </c>
    </row>
    <row r="5" spans="1:8" ht="19.95" customHeight="1">
      <c r="A5" s="55" t="s">
        <v>247</v>
      </c>
      <c r="B5" s="53">
        <v>13</v>
      </c>
      <c r="C5" s="53">
        <v>41</v>
      </c>
      <c r="D5" s="54">
        <v>1.840153846153846</v>
      </c>
      <c r="E5" s="54">
        <v>1.618926829268293</v>
      </c>
      <c r="F5" s="54">
        <v>1.3129999999999999</v>
      </c>
      <c r="G5" s="54">
        <v>1.4570000000000001</v>
      </c>
      <c r="H5" s="54">
        <v>0.5065666041275797</v>
      </c>
    </row>
    <row r="6" spans="1:8" ht="19.95" customHeight="1">
      <c r="A6" s="55" t="s">
        <v>218</v>
      </c>
      <c r="B6" s="53">
        <v>13</v>
      </c>
      <c r="C6" s="53">
        <v>41</v>
      </c>
      <c r="D6" s="54">
        <v>2.592307692307692E-2</v>
      </c>
      <c r="E6" s="54">
        <v>1.5439024390243901E-2</v>
      </c>
      <c r="F6" s="54">
        <v>-7.0000000000000001E-3</v>
      </c>
      <c r="G6" s="54">
        <v>-4.0000000000000001E-3</v>
      </c>
      <c r="H6" s="54">
        <v>0.48686679174484049</v>
      </c>
    </row>
    <row r="7" spans="1:8" ht="19.95" customHeight="1">
      <c r="A7" s="55" t="s">
        <v>248</v>
      </c>
      <c r="B7" s="53">
        <v>13</v>
      </c>
      <c r="C7" s="53">
        <v>41</v>
      </c>
      <c r="D7" s="54">
        <v>3.8993076923076919</v>
      </c>
      <c r="E7" s="54">
        <v>5.0398292682926833</v>
      </c>
      <c r="F7" s="54">
        <v>3.5950000000000002</v>
      </c>
      <c r="G7" s="54">
        <v>3.931</v>
      </c>
      <c r="H7" s="54">
        <v>0.44465290806754221</v>
      </c>
    </row>
    <row r="8" spans="1:8" ht="19.95" customHeight="1">
      <c r="A8" s="55" t="s">
        <v>249</v>
      </c>
      <c r="B8" s="53">
        <v>13</v>
      </c>
      <c r="C8" s="53">
        <v>41</v>
      </c>
      <c r="D8" s="54">
        <v>9.9407692307692308</v>
      </c>
      <c r="E8" s="54">
        <v>17.22931707317073</v>
      </c>
      <c r="F8" s="54">
        <v>8.7539999999999996</v>
      </c>
      <c r="G8" s="54">
        <v>10.146000000000001</v>
      </c>
      <c r="H8" s="54">
        <v>0.38836772983114448</v>
      </c>
    </row>
    <row r="9" spans="1:8" ht="23.4" customHeight="1">
      <c r="A9" s="55" t="s">
        <v>250</v>
      </c>
      <c r="B9" s="53">
        <v>13</v>
      </c>
      <c r="C9" s="53">
        <v>41</v>
      </c>
      <c r="D9" s="54">
        <v>0.27384615384615391</v>
      </c>
      <c r="E9" s="54">
        <v>0.39880487804878051</v>
      </c>
      <c r="F9" s="54">
        <v>0.17299999999999999</v>
      </c>
      <c r="G9" s="54">
        <v>0.36299999999999999</v>
      </c>
      <c r="H9" s="54">
        <v>0.36585365853658541</v>
      </c>
    </row>
    <row r="10" spans="1:8" ht="19.95" customHeight="1">
      <c r="A10" s="55" t="s">
        <v>251</v>
      </c>
      <c r="B10" s="53">
        <v>13</v>
      </c>
      <c r="C10" s="53">
        <v>41</v>
      </c>
      <c r="D10" s="54">
        <v>0.35953846153846147</v>
      </c>
      <c r="E10" s="54">
        <v>0.51573170731707318</v>
      </c>
      <c r="F10" s="54">
        <v>0.28100000000000003</v>
      </c>
      <c r="G10" s="54">
        <v>0.39600000000000002</v>
      </c>
      <c r="H10" s="54">
        <v>0.36397748592870538</v>
      </c>
    </row>
    <row r="11" spans="1:8" ht="19.95" customHeight="1">
      <c r="A11" s="55" t="s">
        <v>252</v>
      </c>
      <c r="B11" s="53">
        <v>13</v>
      </c>
      <c r="C11" s="53">
        <v>41</v>
      </c>
      <c r="D11" s="54">
        <v>6.0416153846153842</v>
      </c>
      <c r="E11" s="54">
        <v>12.18941463414634</v>
      </c>
      <c r="F11" s="54">
        <v>3.88</v>
      </c>
      <c r="G11" s="54">
        <v>6.0220000000000002</v>
      </c>
      <c r="H11" s="54">
        <v>0.36210131332082551</v>
      </c>
    </row>
    <row r="12" spans="1:8" ht="19.95" customHeight="1">
      <c r="A12" s="55" t="s">
        <v>253</v>
      </c>
      <c r="B12" s="53">
        <v>13</v>
      </c>
      <c r="C12" s="53">
        <v>41</v>
      </c>
      <c r="D12" s="54">
        <v>0.53230769230769226</v>
      </c>
      <c r="E12" s="54">
        <v>0.80226829268292688</v>
      </c>
      <c r="F12" s="54">
        <v>0.377</v>
      </c>
      <c r="G12" s="54">
        <v>0.65200000000000002</v>
      </c>
      <c r="H12" s="54">
        <v>0.33771106941838652</v>
      </c>
    </row>
    <row r="13" spans="1:8" ht="19.95" customHeight="1">
      <c r="A13" s="55" t="s">
        <v>254</v>
      </c>
      <c r="B13" s="53">
        <v>13</v>
      </c>
      <c r="C13" s="53">
        <v>41</v>
      </c>
      <c r="D13" s="54">
        <v>1.6532307692307691</v>
      </c>
      <c r="E13" s="54">
        <v>2.6583658536585371</v>
      </c>
      <c r="F13" s="54">
        <v>1.357</v>
      </c>
      <c r="G13" s="54">
        <v>1.887</v>
      </c>
      <c r="H13" s="54">
        <v>0.3151969981238274</v>
      </c>
    </row>
    <row r="14" spans="1:8" ht="19.95" customHeight="1">
      <c r="A14" s="55" t="s">
        <v>255</v>
      </c>
      <c r="B14" s="53">
        <v>13</v>
      </c>
      <c r="C14" s="53">
        <v>41</v>
      </c>
      <c r="D14" s="54">
        <v>0.17276923076923081</v>
      </c>
      <c r="E14" s="54">
        <v>0.28656097560975607</v>
      </c>
      <c r="F14" s="54">
        <v>0.123</v>
      </c>
      <c r="G14" s="54">
        <v>0.25600000000000001</v>
      </c>
      <c r="H14" s="54">
        <v>0.28517823639774859</v>
      </c>
    </row>
    <row r="15" spans="1:8" ht="19.8" customHeight="1" thickBot="1">
      <c r="A15" s="93" t="s">
        <v>256</v>
      </c>
      <c r="B15" s="94">
        <v>13</v>
      </c>
      <c r="C15" s="94">
        <v>41</v>
      </c>
      <c r="D15" s="95">
        <v>4.4615384615384612E-2</v>
      </c>
      <c r="E15" s="95">
        <v>0.28358536585365851</v>
      </c>
      <c r="F15" s="95">
        <v>3.4000000000000002E-2</v>
      </c>
      <c r="G15" s="95">
        <v>6.9000000000000006E-2</v>
      </c>
      <c r="H15" s="95">
        <v>0.25984990619136961</v>
      </c>
    </row>
    <row r="16" spans="1:8" ht="0.6" customHeight="1"/>
    <row r="17" spans="1:8" ht="21" customHeight="1">
      <c r="A17" s="88" t="s">
        <v>55</v>
      </c>
      <c r="B17" s="110"/>
      <c r="C17" s="110"/>
      <c r="D17" s="110"/>
      <c r="E17" s="110"/>
      <c r="F17" s="110"/>
      <c r="G17" s="110"/>
      <c r="H17" s="110"/>
    </row>
    <row r="18" spans="1:8" ht="18.600000000000001" customHeight="1">
      <c r="A18" s="90" t="s">
        <v>257</v>
      </c>
      <c r="B18" s="111"/>
      <c r="C18" s="111"/>
      <c r="D18" s="111"/>
      <c r="E18" s="111"/>
      <c r="F18" s="111"/>
      <c r="G18" s="111"/>
      <c r="H18" s="111"/>
    </row>
    <row r="19" spans="1:8" ht="29.4" customHeight="1">
      <c r="A19" s="90" t="s">
        <v>258</v>
      </c>
      <c r="B19" s="111"/>
      <c r="C19" s="111"/>
      <c r="D19" s="111"/>
      <c r="E19" s="111"/>
      <c r="F19" s="111"/>
      <c r="G19" s="111"/>
      <c r="H19" s="111"/>
    </row>
    <row r="20" spans="1:8" ht="22.2" customHeight="1">
      <c r="A20" s="90" t="s">
        <v>259</v>
      </c>
      <c r="B20" s="111"/>
      <c r="C20" s="111"/>
      <c r="D20" s="111"/>
      <c r="E20" s="111"/>
      <c r="F20" s="111"/>
      <c r="G20" s="111"/>
      <c r="H20" s="111"/>
    </row>
    <row r="21" spans="1:8" ht="33" customHeight="1">
      <c r="A21" s="90" t="s">
        <v>260</v>
      </c>
      <c r="B21" s="111"/>
      <c r="C21" s="111"/>
      <c r="D21" s="111"/>
      <c r="E21" s="111"/>
      <c r="F21" s="111"/>
      <c r="G21" s="111"/>
      <c r="H21" s="111"/>
    </row>
    <row r="22" spans="1:8" ht="26.4" customHeight="1">
      <c r="A22" s="90" t="s">
        <v>261</v>
      </c>
      <c r="B22" s="111"/>
      <c r="C22" s="111"/>
      <c r="D22" s="111"/>
      <c r="E22" s="111"/>
      <c r="F22" s="111"/>
      <c r="G22" s="111"/>
      <c r="H22" s="111"/>
    </row>
  </sheetData>
  <mergeCells count="9">
    <mergeCell ref="A1:H1"/>
    <mergeCell ref="A22:H22"/>
    <mergeCell ref="A17:H17"/>
    <mergeCell ref="A18:H18"/>
    <mergeCell ref="A3:H3"/>
    <mergeCell ref="A21:H21"/>
    <mergeCell ref="A20:H20"/>
    <mergeCell ref="A2:H2"/>
    <mergeCell ref="A19:H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6"/>
  <sheetViews>
    <sheetView showGridLines="0" workbookViewId="0">
      <pane ySplit="4" topLeftCell="A5" activePane="bottomLeft" state="frozen"/>
      <selection pane="bottomLeft" activeCell="D69" sqref="D69"/>
    </sheetView>
  </sheetViews>
  <sheetFormatPr defaultRowHeight="14.4"/>
  <cols>
    <col min="1" max="1" width="35" customWidth="1"/>
    <col min="2" max="2" width="12" customWidth="1"/>
    <col min="3" max="3" width="44" customWidth="1"/>
    <col min="4" max="5" width="14" customWidth="1"/>
    <col min="6" max="6" width="19" customWidth="1"/>
    <col min="7" max="15" width="12" customWidth="1"/>
  </cols>
  <sheetData>
    <row r="1" spans="1:15" ht="24" customHeight="1">
      <c r="A1" s="113" t="s">
        <v>262</v>
      </c>
      <c r="B1" s="114"/>
      <c r="C1" s="114"/>
      <c r="D1" s="114"/>
      <c r="E1" s="114"/>
      <c r="F1" s="114"/>
      <c r="G1" s="114"/>
      <c r="H1" s="114"/>
      <c r="I1" s="114"/>
      <c r="J1" s="114"/>
      <c r="K1" s="114"/>
      <c r="L1" s="114"/>
      <c r="M1" s="114"/>
      <c r="N1" s="114"/>
      <c r="O1" s="114"/>
    </row>
    <row r="2" spans="1:15" ht="18.600000000000001" customHeight="1">
      <c r="A2" s="89" t="s">
        <v>263</v>
      </c>
      <c r="B2" s="74"/>
      <c r="C2" s="74"/>
      <c r="D2" s="74"/>
      <c r="E2" s="74"/>
      <c r="F2" s="74"/>
      <c r="G2" s="74"/>
      <c r="H2" s="74"/>
      <c r="I2" s="74"/>
      <c r="J2" s="74"/>
      <c r="K2" s="74"/>
      <c r="L2" s="74"/>
      <c r="M2" s="74"/>
      <c r="N2" s="74"/>
      <c r="O2" s="74"/>
    </row>
    <row r="3" spans="1:15" ht="13.2" customHeight="1">
      <c r="A3" s="89" t="s">
        <v>264</v>
      </c>
      <c r="B3" s="74"/>
      <c r="C3" s="74"/>
      <c r="D3" s="74"/>
      <c r="E3" s="74"/>
      <c r="F3" s="74"/>
      <c r="G3" s="74"/>
      <c r="H3" s="74"/>
      <c r="I3" s="74"/>
      <c r="J3" s="74"/>
      <c r="K3" s="74"/>
      <c r="L3" s="74"/>
      <c r="M3" s="74"/>
      <c r="N3" s="74"/>
      <c r="O3" s="74"/>
    </row>
    <row r="4" spans="1:15" ht="31.95" customHeight="1">
      <c r="A4" s="63" t="s">
        <v>100</v>
      </c>
      <c r="B4" s="63" t="s">
        <v>265</v>
      </c>
      <c r="C4" s="63" t="s">
        <v>266</v>
      </c>
      <c r="D4" s="63" t="s">
        <v>102</v>
      </c>
      <c r="E4" s="63" t="s">
        <v>103</v>
      </c>
      <c r="F4" s="63" t="s">
        <v>267</v>
      </c>
      <c r="G4" s="63" t="s">
        <v>252</v>
      </c>
      <c r="H4" s="63" t="s">
        <v>248</v>
      </c>
      <c r="I4" s="63" t="s">
        <v>218</v>
      </c>
      <c r="J4" s="63" t="s">
        <v>251</v>
      </c>
      <c r="K4" s="63" t="s">
        <v>255</v>
      </c>
      <c r="L4" s="63" t="s">
        <v>256</v>
      </c>
      <c r="M4" s="63" t="s">
        <v>247</v>
      </c>
      <c r="N4" s="63" t="s">
        <v>250</v>
      </c>
      <c r="O4" s="63" t="s">
        <v>254</v>
      </c>
    </row>
    <row r="5" spans="1:15" ht="22.05" customHeight="1">
      <c r="A5" s="55" t="s">
        <v>184</v>
      </c>
      <c r="B5" s="55" t="s">
        <v>133</v>
      </c>
      <c r="C5" s="55" t="s">
        <v>185</v>
      </c>
      <c r="D5" s="53">
        <v>15543030</v>
      </c>
      <c r="E5" s="53">
        <v>15545008</v>
      </c>
      <c r="F5" s="54">
        <v>0.91769547325102885</v>
      </c>
      <c r="G5" s="54">
        <v>0.98148148148148151</v>
      </c>
      <c r="H5" s="54">
        <v>0.96296296296296291</v>
      </c>
      <c r="I5" s="54">
        <v>0.88888888888888884</v>
      </c>
      <c r="J5" s="54">
        <v>1</v>
      </c>
      <c r="K5" s="54">
        <v>0.98148148148148151</v>
      </c>
      <c r="L5" s="54">
        <v>0.96296296296296291</v>
      </c>
      <c r="M5" s="54">
        <v>0.94444444444444442</v>
      </c>
      <c r="N5" s="54">
        <v>0.70370370370370372</v>
      </c>
      <c r="O5" s="54">
        <v>0.83333333333333337</v>
      </c>
    </row>
    <row r="6" spans="1:15" ht="22.05" customHeight="1">
      <c r="A6" s="55" t="s">
        <v>7</v>
      </c>
      <c r="B6" s="55" t="s">
        <v>135</v>
      </c>
      <c r="C6" s="55" t="s">
        <v>136</v>
      </c>
      <c r="D6" s="53">
        <v>15549343</v>
      </c>
      <c r="E6" s="53">
        <v>15550462</v>
      </c>
      <c r="F6" s="54">
        <v>0.91152263374485587</v>
      </c>
      <c r="G6" s="54">
        <v>0.90740740740740744</v>
      </c>
      <c r="H6" s="54">
        <v>0.90740740740740744</v>
      </c>
      <c r="I6" s="54">
        <v>0.96296296296296291</v>
      </c>
      <c r="J6" s="54">
        <v>0.96296296296296291</v>
      </c>
      <c r="K6" s="54">
        <v>0.92592592592592593</v>
      </c>
      <c r="L6" s="54">
        <v>0.81481481481481477</v>
      </c>
      <c r="M6" s="54">
        <v>0.90740740740740744</v>
      </c>
      <c r="N6" s="54">
        <v>0.83333333333333337</v>
      </c>
      <c r="O6" s="54">
        <v>0.98148148148148151</v>
      </c>
    </row>
    <row r="7" spans="1:15" ht="22.05" customHeight="1">
      <c r="A7" s="55" t="s">
        <v>148</v>
      </c>
      <c r="B7" s="55" t="s">
        <v>133</v>
      </c>
      <c r="C7" s="55" t="s">
        <v>134</v>
      </c>
      <c r="D7" s="53">
        <v>15051770</v>
      </c>
      <c r="E7" s="53">
        <v>15054203</v>
      </c>
      <c r="F7" s="54">
        <v>0.89506172839506171</v>
      </c>
      <c r="G7" s="54">
        <v>1</v>
      </c>
      <c r="H7" s="54">
        <v>1</v>
      </c>
      <c r="I7" s="54">
        <v>0.85185185185185186</v>
      </c>
      <c r="J7" s="54">
        <v>0.81481481481481477</v>
      </c>
      <c r="K7" s="54">
        <v>0.90740740740740744</v>
      </c>
      <c r="L7" s="54">
        <v>0.90740740740740744</v>
      </c>
      <c r="M7" s="54">
        <v>0.64814814814814814</v>
      </c>
      <c r="N7" s="54">
        <v>1</v>
      </c>
      <c r="O7" s="54">
        <v>0.92592592592592593</v>
      </c>
    </row>
    <row r="8" spans="1:15" ht="22.05" customHeight="1">
      <c r="A8" s="55" t="s">
        <v>176</v>
      </c>
      <c r="B8" s="55" t="s">
        <v>133</v>
      </c>
      <c r="C8" s="55" t="s">
        <v>177</v>
      </c>
      <c r="D8" s="53">
        <v>15464300</v>
      </c>
      <c r="E8" s="53">
        <v>15470736</v>
      </c>
      <c r="F8" s="54">
        <v>0.89506172839506171</v>
      </c>
      <c r="G8" s="54">
        <v>0.96296296296296291</v>
      </c>
      <c r="H8" s="54">
        <v>0.98148148148148151</v>
      </c>
      <c r="I8" s="54">
        <v>0.92592592592592593</v>
      </c>
      <c r="J8" s="54">
        <v>0.92592592592592593</v>
      </c>
      <c r="K8" s="54">
        <v>1</v>
      </c>
      <c r="L8" s="54">
        <v>1</v>
      </c>
      <c r="M8" s="54">
        <v>0.51851851851851849</v>
      </c>
      <c r="N8" s="54">
        <v>0.85185185185185186</v>
      </c>
      <c r="O8" s="54">
        <v>0.88888888888888884</v>
      </c>
    </row>
    <row r="9" spans="1:15" ht="22.05" customHeight="1">
      <c r="A9" s="55" t="s">
        <v>197</v>
      </c>
      <c r="B9" s="55" t="s">
        <v>133</v>
      </c>
      <c r="C9" s="55" t="s">
        <v>198</v>
      </c>
      <c r="D9" s="53">
        <v>15664357</v>
      </c>
      <c r="E9" s="53">
        <v>15665305</v>
      </c>
      <c r="F9" s="54">
        <v>0.84979423868312765</v>
      </c>
      <c r="G9" s="54">
        <v>0.88888888888888884</v>
      </c>
      <c r="H9" s="54">
        <v>0.83333333333333337</v>
      </c>
      <c r="I9" s="54">
        <v>0.98148148148148151</v>
      </c>
      <c r="J9" s="54">
        <v>0.98148148148148151</v>
      </c>
      <c r="K9" s="54">
        <v>0.88888888888888884</v>
      </c>
      <c r="L9" s="54">
        <v>0.94444444444444442</v>
      </c>
      <c r="M9" s="54">
        <v>0.16666666666666671</v>
      </c>
      <c r="N9" s="54">
        <v>0.96296296296296291</v>
      </c>
      <c r="O9" s="54">
        <v>1</v>
      </c>
    </row>
    <row r="10" spans="1:15" ht="22.05" customHeight="1">
      <c r="A10" s="55" t="s">
        <v>183</v>
      </c>
      <c r="B10" s="55" t="s">
        <v>133</v>
      </c>
      <c r="C10" s="55" t="s">
        <v>162</v>
      </c>
      <c r="D10" s="53">
        <v>15539213</v>
      </c>
      <c r="E10" s="53">
        <v>15545868</v>
      </c>
      <c r="F10" s="54">
        <v>0.84465020576131677</v>
      </c>
      <c r="G10" s="54">
        <v>0.92592592592592593</v>
      </c>
      <c r="H10" s="54">
        <v>0.88888888888888884</v>
      </c>
      <c r="I10" s="54">
        <v>0.80555555555555558</v>
      </c>
      <c r="J10" s="54">
        <v>0.94444444444444442</v>
      </c>
      <c r="K10" s="54">
        <v>0.96296296296296291</v>
      </c>
      <c r="L10" s="54">
        <v>0.85185185185185186</v>
      </c>
      <c r="M10" s="54">
        <v>0.79629629629629628</v>
      </c>
      <c r="N10" s="54">
        <v>0.64814814814814814</v>
      </c>
      <c r="O10" s="54">
        <v>0.77777777777777779</v>
      </c>
    </row>
    <row r="11" spans="1:15" ht="22.05" customHeight="1">
      <c r="A11" s="55" t="s">
        <v>193</v>
      </c>
      <c r="B11" s="55" t="s">
        <v>133</v>
      </c>
      <c r="C11" s="55" t="s">
        <v>192</v>
      </c>
      <c r="D11" s="53">
        <v>15575905</v>
      </c>
      <c r="E11" s="53">
        <v>15578740</v>
      </c>
      <c r="F11" s="54">
        <v>0.82098765432098775</v>
      </c>
      <c r="G11" s="54">
        <v>0.85185185185185186</v>
      </c>
      <c r="H11" s="54">
        <v>0.64814814814814814</v>
      </c>
      <c r="I11" s="54">
        <v>0.90740740740740744</v>
      </c>
      <c r="J11" s="54">
        <v>0.7592592592592593</v>
      </c>
      <c r="K11" s="54">
        <v>0.83333333333333337</v>
      </c>
      <c r="L11" s="54">
        <v>0.77777777777777779</v>
      </c>
      <c r="M11" s="54">
        <v>0.85185185185185186</v>
      </c>
      <c r="N11" s="54">
        <v>0.81481481481481477</v>
      </c>
      <c r="O11" s="54">
        <v>0.94444444444444442</v>
      </c>
    </row>
    <row r="12" spans="1:15" ht="22.05" customHeight="1">
      <c r="A12" s="55" t="s">
        <v>204</v>
      </c>
      <c r="B12" s="55" t="s">
        <v>133</v>
      </c>
      <c r="C12" s="55" t="s">
        <v>205</v>
      </c>
      <c r="D12" s="53">
        <v>15866641</v>
      </c>
      <c r="E12" s="53">
        <v>15869682</v>
      </c>
      <c r="F12" s="54">
        <v>0.81893004115226331</v>
      </c>
      <c r="G12" s="54">
        <v>0.94444444444444442</v>
      </c>
      <c r="H12" s="54">
        <v>0.94444444444444442</v>
      </c>
      <c r="I12" s="54">
        <v>0.94444444444444442</v>
      </c>
      <c r="J12" s="54">
        <v>0.88888888888888884</v>
      </c>
      <c r="K12" s="54">
        <v>0.81481481481481477</v>
      </c>
      <c r="L12" s="54">
        <v>0.83333333333333337</v>
      </c>
      <c r="M12" s="54">
        <v>5.5555555555555552E-2</v>
      </c>
      <c r="N12" s="54">
        <v>0.98148148148148151</v>
      </c>
      <c r="O12" s="54">
        <v>0.96296296296296291</v>
      </c>
    </row>
    <row r="13" spans="1:15" ht="22.05" customHeight="1">
      <c r="A13" s="55" t="s">
        <v>169</v>
      </c>
      <c r="B13" s="55" t="s">
        <v>133</v>
      </c>
      <c r="C13" s="55" t="s">
        <v>168</v>
      </c>
      <c r="D13" s="53">
        <v>15394344</v>
      </c>
      <c r="E13" s="53">
        <v>15396348</v>
      </c>
      <c r="F13" s="54">
        <v>0.8168724279835391</v>
      </c>
      <c r="G13" s="54">
        <v>0.72222222222222221</v>
      </c>
      <c r="H13" s="54">
        <v>0.7407407407407407</v>
      </c>
      <c r="I13" s="54">
        <v>0.77777777777777779</v>
      </c>
      <c r="J13" s="54">
        <v>0.90740740740740744</v>
      </c>
      <c r="K13" s="54">
        <v>0.94444444444444442</v>
      </c>
      <c r="L13" s="54">
        <v>0.98148148148148151</v>
      </c>
      <c r="M13" s="54">
        <v>0.48148148148148151</v>
      </c>
      <c r="N13" s="54">
        <v>0.92592592592592593</v>
      </c>
      <c r="O13" s="54">
        <v>0.87037037037037035</v>
      </c>
    </row>
    <row r="14" spans="1:15" ht="22.05" customHeight="1">
      <c r="A14" s="55" t="s">
        <v>10</v>
      </c>
      <c r="B14" s="55" t="s">
        <v>135</v>
      </c>
      <c r="C14" s="55" t="s">
        <v>136</v>
      </c>
      <c r="D14" s="53">
        <v>15610488</v>
      </c>
      <c r="E14" s="53">
        <v>15611188</v>
      </c>
      <c r="F14" s="54">
        <v>0.7397119341563787</v>
      </c>
      <c r="G14" s="54">
        <v>0.7592592592592593</v>
      </c>
      <c r="H14" s="54">
        <v>0.87037037037037035</v>
      </c>
      <c r="I14" s="54">
        <v>0.7592592592592593</v>
      </c>
      <c r="J14" s="54">
        <v>0.72222222222222221</v>
      </c>
      <c r="K14" s="54">
        <v>0.7592592592592593</v>
      </c>
      <c r="L14" s="54">
        <v>0.41666666666666669</v>
      </c>
      <c r="M14" s="54">
        <v>0.61111111111111116</v>
      </c>
      <c r="N14" s="54">
        <v>0.94444444444444442</v>
      </c>
      <c r="O14" s="54">
        <v>0.81481481481481477</v>
      </c>
    </row>
    <row r="15" spans="1:15" ht="22.05" customHeight="1">
      <c r="A15" s="55" t="s">
        <v>153</v>
      </c>
      <c r="B15" s="55" t="s">
        <v>133</v>
      </c>
      <c r="C15" s="55" t="s">
        <v>154</v>
      </c>
      <c r="D15" s="53">
        <v>15206894</v>
      </c>
      <c r="E15" s="53">
        <v>15211138</v>
      </c>
      <c r="F15" s="54">
        <v>0.70884773662551437</v>
      </c>
      <c r="G15" s="54">
        <v>0.77777777777777779</v>
      </c>
      <c r="H15" s="54">
        <v>0.66666666666666663</v>
      </c>
      <c r="I15" s="54">
        <v>0.65740740740740744</v>
      </c>
      <c r="J15" s="54">
        <v>0.66666666666666663</v>
      </c>
      <c r="K15" s="54">
        <v>0.71296296296296291</v>
      </c>
      <c r="L15" s="54">
        <v>0.52777777777777779</v>
      </c>
      <c r="M15" s="54">
        <v>0.7407407407407407</v>
      </c>
      <c r="N15" s="54">
        <v>0.88888888888888884</v>
      </c>
      <c r="O15" s="54">
        <v>0.7407407407407407</v>
      </c>
    </row>
    <row r="16" spans="1:15" ht="22.05" customHeight="1">
      <c r="A16" s="55" t="s">
        <v>155</v>
      </c>
      <c r="B16" s="55" t="s">
        <v>133</v>
      </c>
      <c r="C16" s="55" t="s">
        <v>156</v>
      </c>
      <c r="D16" s="53">
        <v>15207935</v>
      </c>
      <c r="E16" s="53">
        <v>15210467</v>
      </c>
      <c r="F16" s="54">
        <v>0.68930041152263377</v>
      </c>
      <c r="G16" s="54">
        <v>0.87037037037037035</v>
      </c>
      <c r="H16" s="54">
        <v>0.81481481481481477</v>
      </c>
      <c r="I16" s="54">
        <v>0.72222222222222221</v>
      </c>
      <c r="J16" s="54">
        <v>0.83333333333333337</v>
      </c>
      <c r="K16" s="54">
        <v>0.7407407407407407</v>
      </c>
      <c r="L16" s="54">
        <v>0.64814814814814814</v>
      </c>
      <c r="M16" s="54">
        <v>5.5555555555555552E-2</v>
      </c>
      <c r="N16" s="54">
        <v>0.72222222222222221</v>
      </c>
      <c r="O16" s="54">
        <v>0.79629629629629628</v>
      </c>
    </row>
    <row r="17" spans="1:15" ht="22.05" customHeight="1">
      <c r="A17" s="55" t="s">
        <v>191</v>
      </c>
      <c r="B17" s="55" t="s">
        <v>133</v>
      </c>
      <c r="C17" s="55" t="s">
        <v>192</v>
      </c>
      <c r="D17" s="53">
        <v>15575346</v>
      </c>
      <c r="E17" s="53">
        <v>15580762</v>
      </c>
      <c r="F17" s="54">
        <v>0.68621399176954734</v>
      </c>
      <c r="G17" s="54">
        <v>0.70370370370370372</v>
      </c>
      <c r="H17" s="54">
        <v>0.35185185185185192</v>
      </c>
      <c r="I17" s="54">
        <v>0.80555555555555558</v>
      </c>
      <c r="J17" s="54">
        <v>0.61111111111111116</v>
      </c>
      <c r="K17" s="54">
        <v>0.59259259259259256</v>
      </c>
      <c r="L17" s="54">
        <v>0.68518518518518523</v>
      </c>
      <c r="M17" s="54">
        <v>0.96296296296296291</v>
      </c>
      <c r="N17" s="54">
        <v>0.61111111111111116</v>
      </c>
      <c r="O17" s="54">
        <v>0.85185185185185186</v>
      </c>
    </row>
    <row r="18" spans="1:15" ht="22.05" customHeight="1">
      <c r="A18" s="55" t="s">
        <v>194</v>
      </c>
      <c r="B18" s="55" t="s">
        <v>133</v>
      </c>
      <c r="C18" s="55" t="s">
        <v>195</v>
      </c>
      <c r="D18" s="53">
        <v>15617321</v>
      </c>
      <c r="E18" s="53">
        <v>15622705</v>
      </c>
      <c r="F18" s="54">
        <v>0.68312757201646102</v>
      </c>
      <c r="G18" s="54">
        <v>0.53703703703703709</v>
      </c>
      <c r="H18" s="54">
        <v>0.68518518518518523</v>
      </c>
      <c r="I18" s="54">
        <v>0.87037037037037035</v>
      </c>
      <c r="J18" s="54">
        <v>0.62962962962962965</v>
      </c>
      <c r="K18" s="54">
        <v>0.71296296296296291</v>
      </c>
      <c r="L18" s="54">
        <v>0.47222222222222221</v>
      </c>
      <c r="M18" s="54">
        <v>0.66666666666666663</v>
      </c>
      <c r="N18" s="54">
        <v>0.90740740740740744</v>
      </c>
      <c r="O18" s="54">
        <v>0.66666666666666663</v>
      </c>
    </row>
    <row r="19" spans="1:15" ht="22.05" customHeight="1">
      <c r="A19" s="55" t="s">
        <v>174</v>
      </c>
      <c r="B19" s="55" t="s">
        <v>133</v>
      </c>
      <c r="C19" s="55" t="s">
        <v>175</v>
      </c>
      <c r="D19" s="53">
        <v>15441031</v>
      </c>
      <c r="E19" s="53">
        <v>15447769</v>
      </c>
      <c r="F19" s="54">
        <v>0.68209876543209869</v>
      </c>
      <c r="G19" s="54">
        <v>0.79629629629629628</v>
      </c>
      <c r="H19" s="54">
        <v>0.3888888888888889</v>
      </c>
      <c r="I19" s="54">
        <v>0.58333333333333337</v>
      </c>
      <c r="J19" s="54">
        <v>0.87037037037037035</v>
      </c>
      <c r="K19" s="54">
        <v>0.85185185185185186</v>
      </c>
      <c r="L19" s="54">
        <v>0.79629629629629628</v>
      </c>
      <c r="M19" s="54">
        <v>0.68518518518518523</v>
      </c>
      <c r="N19" s="54">
        <v>0.44444444444444442</v>
      </c>
      <c r="O19" s="54">
        <v>0.72222222222222221</v>
      </c>
    </row>
    <row r="20" spans="1:15" ht="22.05" customHeight="1">
      <c r="A20" s="55" t="s">
        <v>196</v>
      </c>
      <c r="B20" s="55" t="s">
        <v>133</v>
      </c>
      <c r="C20" s="55" t="s">
        <v>177</v>
      </c>
      <c r="D20" s="53">
        <v>15663622</v>
      </c>
      <c r="E20" s="53">
        <v>15670352</v>
      </c>
      <c r="F20" s="54">
        <v>0.66872427983539096</v>
      </c>
      <c r="G20" s="54">
        <v>0.68518518518518523</v>
      </c>
      <c r="H20" s="54">
        <v>0.5</v>
      </c>
      <c r="I20" s="54">
        <v>0.83333333333333337</v>
      </c>
      <c r="J20" s="54">
        <v>0.85185185185185186</v>
      </c>
      <c r="K20" s="54">
        <v>0.64814814814814814</v>
      </c>
      <c r="L20" s="54">
        <v>0.7407407407407407</v>
      </c>
      <c r="M20" s="54">
        <v>0.31481481481481483</v>
      </c>
      <c r="N20" s="54">
        <v>0.53703703703703709</v>
      </c>
      <c r="O20" s="54">
        <v>0.90740740740740744</v>
      </c>
    </row>
    <row r="21" spans="1:15" ht="22.05" customHeight="1">
      <c r="A21" s="55" t="s">
        <v>9</v>
      </c>
      <c r="B21" s="55" t="s">
        <v>135</v>
      </c>
      <c r="C21" s="55" t="s">
        <v>136</v>
      </c>
      <c r="D21" s="53">
        <v>15620962</v>
      </c>
      <c r="E21" s="53">
        <v>15621575</v>
      </c>
      <c r="F21" s="54">
        <v>0.64609053497942392</v>
      </c>
      <c r="G21" s="54">
        <v>0.83333333333333337</v>
      </c>
      <c r="H21" s="54">
        <v>0.92592592592592593</v>
      </c>
      <c r="I21" s="54">
        <v>1</v>
      </c>
      <c r="J21" s="54">
        <v>0.79629629629629628</v>
      </c>
      <c r="K21" s="54">
        <v>0.66666666666666663</v>
      </c>
      <c r="L21" s="54">
        <v>0.62962962962962965</v>
      </c>
      <c r="M21" s="54">
        <v>5.5555555555555552E-2</v>
      </c>
      <c r="N21" s="54">
        <v>0.14814814814814811</v>
      </c>
      <c r="O21" s="54">
        <v>0.7592592592592593</v>
      </c>
    </row>
    <row r="22" spans="1:15" ht="22.05" customHeight="1">
      <c r="A22" s="55" t="s">
        <v>167</v>
      </c>
      <c r="B22" s="55" t="s">
        <v>133</v>
      </c>
      <c r="C22" s="55" t="s">
        <v>168</v>
      </c>
      <c r="D22" s="53">
        <v>15391180</v>
      </c>
      <c r="E22" s="53">
        <v>15395886</v>
      </c>
      <c r="F22" s="54">
        <v>0.63580246913580241</v>
      </c>
      <c r="G22" s="54">
        <v>0.62962962962962965</v>
      </c>
      <c r="H22" s="54">
        <v>0.33333333333333331</v>
      </c>
      <c r="I22" s="54">
        <v>0.68518518518518523</v>
      </c>
      <c r="J22" s="54">
        <v>0.77777777777777779</v>
      </c>
      <c r="K22" s="54">
        <v>0.77777777777777779</v>
      </c>
      <c r="L22" s="54">
        <v>0.92592592592592593</v>
      </c>
      <c r="M22" s="54">
        <v>0.1111111111111111</v>
      </c>
      <c r="N22" s="54">
        <v>0.77777777777777779</v>
      </c>
      <c r="O22" s="54">
        <v>0.70370370370370372</v>
      </c>
    </row>
    <row r="23" spans="1:15" ht="22.05" customHeight="1">
      <c r="A23" s="55" t="s">
        <v>178</v>
      </c>
      <c r="B23" s="55" t="s">
        <v>133</v>
      </c>
      <c r="C23" s="55" t="s">
        <v>179</v>
      </c>
      <c r="D23" s="53">
        <v>15483222</v>
      </c>
      <c r="E23" s="53">
        <v>15488000</v>
      </c>
      <c r="F23" s="54">
        <v>0.60082304526748975</v>
      </c>
      <c r="G23" s="54">
        <v>0.7407407407407407</v>
      </c>
      <c r="H23" s="54">
        <v>0.79629629629629628</v>
      </c>
      <c r="I23" s="54">
        <v>0.65740740740740744</v>
      </c>
      <c r="J23" s="54">
        <v>0.7407407407407407</v>
      </c>
      <c r="K23" s="54">
        <v>0.53703703703703709</v>
      </c>
      <c r="L23" s="54">
        <v>0.61111111111111116</v>
      </c>
      <c r="M23" s="54">
        <v>0.20370370370370369</v>
      </c>
      <c r="N23" s="54">
        <v>0.47222222222222221</v>
      </c>
      <c r="O23" s="54">
        <v>0.64814814814814814</v>
      </c>
    </row>
    <row r="24" spans="1:15" ht="22.05" customHeight="1">
      <c r="A24" s="55" t="s">
        <v>186</v>
      </c>
      <c r="B24" s="55" t="s">
        <v>133</v>
      </c>
      <c r="C24" s="55" t="s">
        <v>187</v>
      </c>
      <c r="D24" s="53">
        <v>15553755</v>
      </c>
      <c r="E24" s="53">
        <v>15558617</v>
      </c>
      <c r="F24" s="54">
        <v>0.57716049382716039</v>
      </c>
      <c r="G24" s="54">
        <v>0.5</v>
      </c>
      <c r="H24" s="54">
        <v>0.29629629629629628</v>
      </c>
      <c r="I24" s="54">
        <v>0.58333333333333337</v>
      </c>
      <c r="J24" s="54">
        <v>0.68518518518518523</v>
      </c>
      <c r="K24" s="54">
        <v>0.87037037037037035</v>
      </c>
      <c r="L24" s="54">
        <v>0.66666666666666663</v>
      </c>
      <c r="M24" s="54">
        <v>0.57407407407407407</v>
      </c>
      <c r="N24" s="54">
        <v>0.59259259259259256</v>
      </c>
      <c r="O24" s="54">
        <v>0.42592592592592587</v>
      </c>
    </row>
    <row r="25" spans="1:15" ht="22.05" customHeight="1">
      <c r="A25" s="55" t="s">
        <v>188</v>
      </c>
      <c r="B25" s="55" t="s">
        <v>133</v>
      </c>
      <c r="C25" s="55" t="s">
        <v>189</v>
      </c>
      <c r="D25" s="53">
        <v>15566505</v>
      </c>
      <c r="E25" s="53">
        <v>15571780</v>
      </c>
      <c r="F25" s="54">
        <v>0.55967078189300412</v>
      </c>
      <c r="G25" s="54">
        <v>0.33333333333333331</v>
      </c>
      <c r="H25" s="54">
        <v>0.61111111111111116</v>
      </c>
      <c r="I25" s="54">
        <v>0.12962962962962959</v>
      </c>
      <c r="J25" s="54">
        <v>0.51851851851851849</v>
      </c>
      <c r="K25" s="54">
        <v>0.55555555555555558</v>
      </c>
      <c r="L25" s="54">
        <v>0.70370370370370372</v>
      </c>
      <c r="M25" s="54">
        <v>0.92592592592592593</v>
      </c>
      <c r="N25" s="54">
        <v>0.62962962962962965</v>
      </c>
      <c r="O25" s="54">
        <v>0.62962962962962965</v>
      </c>
    </row>
    <row r="26" spans="1:15" ht="22.05" customHeight="1">
      <c r="A26" s="55" t="s">
        <v>181</v>
      </c>
      <c r="B26" s="55" t="s">
        <v>133</v>
      </c>
      <c r="C26" s="55" t="s">
        <v>182</v>
      </c>
      <c r="D26" s="53">
        <v>15535420</v>
      </c>
      <c r="E26" s="53">
        <v>15540093</v>
      </c>
      <c r="F26" s="54">
        <v>0.55761316872427991</v>
      </c>
      <c r="G26" s="54">
        <v>0.81481481481481477</v>
      </c>
      <c r="H26" s="54">
        <v>0.77777777777777779</v>
      </c>
      <c r="I26" s="54">
        <v>0.44444444444444442</v>
      </c>
      <c r="J26" s="54">
        <v>0.64814814814814814</v>
      </c>
      <c r="K26" s="54">
        <v>0.46296296296296302</v>
      </c>
      <c r="L26" s="54">
        <v>0.57407407407407407</v>
      </c>
      <c r="M26" s="54">
        <v>0.22222222222222221</v>
      </c>
      <c r="N26" s="54">
        <v>0.5</v>
      </c>
      <c r="O26" s="54">
        <v>0.57407407407407407</v>
      </c>
    </row>
    <row r="27" spans="1:15" ht="22.05" customHeight="1">
      <c r="A27" s="55" t="s">
        <v>202</v>
      </c>
      <c r="B27" s="55" t="s">
        <v>133</v>
      </c>
      <c r="C27" s="55" t="s">
        <v>147</v>
      </c>
      <c r="D27" s="53">
        <v>15754221</v>
      </c>
      <c r="E27" s="53">
        <v>15759133</v>
      </c>
      <c r="F27" s="54">
        <v>0.54115226337448563</v>
      </c>
      <c r="G27" s="54">
        <v>0.40740740740740738</v>
      </c>
      <c r="H27" s="54">
        <v>0.44444444444444442</v>
      </c>
      <c r="I27" s="54">
        <v>0.12962962962962959</v>
      </c>
      <c r="J27" s="54">
        <v>0.40740740740740738</v>
      </c>
      <c r="K27" s="54">
        <v>0.68518518518518523</v>
      </c>
      <c r="L27" s="54">
        <v>0.88888888888888884</v>
      </c>
      <c r="M27" s="54">
        <v>0.98148148148148151</v>
      </c>
      <c r="N27" s="54">
        <v>0.57407407407407407</v>
      </c>
      <c r="O27" s="54">
        <v>0.35185185185185192</v>
      </c>
    </row>
    <row r="28" spans="1:15" ht="22.05" customHeight="1">
      <c r="A28" s="55" t="s">
        <v>180</v>
      </c>
      <c r="B28" s="55" t="s">
        <v>133</v>
      </c>
      <c r="C28" s="55" t="s">
        <v>143</v>
      </c>
      <c r="D28" s="53">
        <v>15485450</v>
      </c>
      <c r="E28" s="53">
        <v>15487169</v>
      </c>
      <c r="F28" s="54">
        <v>0.53703703703703698</v>
      </c>
      <c r="G28" s="54">
        <v>0.64814814814814814</v>
      </c>
      <c r="H28" s="54">
        <v>0.53703703703703709</v>
      </c>
      <c r="I28" s="54">
        <v>0.70370370370370372</v>
      </c>
      <c r="J28" s="54">
        <v>0.70370370370370372</v>
      </c>
      <c r="K28" s="54">
        <v>0.37037037037037029</v>
      </c>
      <c r="L28" s="54">
        <v>0.72222222222222221</v>
      </c>
      <c r="M28" s="54">
        <v>0.29629629629629628</v>
      </c>
      <c r="N28" s="54">
        <v>0.29629629629629628</v>
      </c>
      <c r="O28" s="54">
        <v>0.55555555555555558</v>
      </c>
    </row>
    <row r="29" spans="1:15" ht="22.05" customHeight="1">
      <c r="A29" s="55" t="s">
        <v>11</v>
      </c>
      <c r="B29" s="55" t="s">
        <v>135</v>
      </c>
      <c r="C29" s="55" t="s">
        <v>136</v>
      </c>
      <c r="D29" s="53">
        <v>15561789</v>
      </c>
      <c r="E29" s="53">
        <v>15567045</v>
      </c>
      <c r="F29" s="54">
        <v>0.5288065843621399</v>
      </c>
      <c r="G29" s="54">
        <v>0.48148148148148151</v>
      </c>
      <c r="H29" s="54">
        <v>0.37037037037037029</v>
      </c>
      <c r="I29" s="54">
        <v>0.51851851851851849</v>
      </c>
      <c r="J29" s="54">
        <v>0.59259259259259256</v>
      </c>
      <c r="K29" s="54">
        <v>0.51851851851851849</v>
      </c>
      <c r="L29" s="54">
        <v>0.44444444444444442</v>
      </c>
      <c r="M29" s="54">
        <v>0.70370370370370372</v>
      </c>
      <c r="N29" s="54">
        <v>0.51851851851851849</v>
      </c>
      <c r="O29" s="54">
        <v>0.61111111111111116</v>
      </c>
    </row>
    <row r="30" spans="1:15" ht="22.05" customHeight="1">
      <c r="A30" s="55" t="s">
        <v>170</v>
      </c>
      <c r="B30" s="55" t="s">
        <v>133</v>
      </c>
      <c r="C30" s="55" t="s">
        <v>171</v>
      </c>
      <c r="D30" s="53">
        <v>15418100</v>
      </c>
      <c r="E30" s="53">
        <v>15423221</v>
      </c>
      <c r="F30" s="54">
        <v>0.52572016460905358</v>
      </c>
      <c r="G30" s="54">
        <v>0.46296296296296302</v>
      </c>
      <c r="H30" s="54">
        <v>0.20370370370370369</v>
      </c>
      <c r="I30" s="54">
        <v>0.28703703703703698</v>
      </c>
      <c r="J30" s="54">
        <v>0.5</v>
      </c>
      <c r="K30" s="54">
        <v>0.42592592592592587</v>
      </c>
      <c r="L30" s="54">
        <v>0.7592592592592593</v>
      </c>
      <c r="M30" s="54">
        <v>0.72222222222222221</v>
      </c>
      <c r="N30" s="54">
        <v>0.68518518518518523</v>
      </c>
      <c r="O30" s="54">
        <v>0.68518518518518523</v>
      </c>
    </row>
    <row r="31" spans="1:15" ht="22.05" customHeight="1">
      <c r="A31" s="55" t="s">
        <v>172</v>
      </c>
      <c r="B31" s="55" t="s">
        <v>133</v>
      </c>
      <c r="C31" s="55" t="s">
        <v>173</v>
      </c>
      <c r="D31" s="53">
        <v>15422724</v>
      </c>
      <c r="E31" s="53">
        <v>15427678</v>
      </c>
      <c r="F31" s="54">
        <v>0.52469135802469136</v>
      </c>
      <c r="G31" s="54">
        <v>0.22222222222222221</v>
      </c>
      <c r="H31" s="54">
        <v>9.2592592592592587E-2</v>
      </c>
      <c r="I31" s="54">
        <v>0.61111111111111116</v>
      </c>
      <c r="J31" s="54">
        <v>0.57407407407407407</v>
      </c>
      <c r="K31" s="54">
        <v>0.48148148148148151</v>
      </c>
      <c r="L31" s="54">
        <v>0.87037037037037035</v>
      </c>
      <c r="M31" s="54">
        <v>0.81481481481481477</v>
      </c>
      <c r="N31" s="54">
        <v>0.55555555555555558</v>
      </c>
      <c r="O31" s="54">
        <v>0.5</v>
      </c>
    </row>
    <row r="32" spans="1:15" ht="22.05" customHeight="1">
      <c r="A32" s="55" t="s">
        <v>13</v>
      </c>
      <c r="B32" s="55" t="s">
        <v>135</v>
      </c>
      <c r="C32" s="55" t="s">
        <v>136</v>
      </c>
      <c r="D32" s="53">
        <v>15706515</v>
      </c>
      <c r="E32" s="53">
        <v>15706940</v>
      </c>
      <c r="F32" s="54">
        <v>0.49279835390946503</v>
      </c>
      <c r="G32" s="54">
        <v>0.61111111111111116</v>
      </c>
      <c r="H32" s="54">
        <v>0.40740740740740738</v>
      </c>
      <c r="I32" s="54">
        <v>0.48148148148148151</v>
      </c>
      <c r="J32" s="54">
        <v>0.42592592592592587</v>
      </c>
      <c r="K32" s="54">
        <v>0.1851851851851852</v>
      </c>
      <c r="L32" s="54">
        <v>4.6296296296296287E-2</v>
      </c>
      <c r="M32" s="54">
        <v>1</v>
      </c>
      <c r="N32" s="54">
        <v>0.87037037037037035</v>
      </c>
      <c r="O32" s="54">
        <v>0.40740740740740738</v>
      </c>
    </row>
    <row r="33" spans="1:15" ht="22.05" customHeight="1">
      <c r="A33" s="55" t="s">
        <v>199</v>
      </c>
      <c r="B33" s="55" t="s">
        <v>133</v>
      </c>
      <c r="C33" s="55" t="s">
        <v>200</v>
      </c>
      <c r="D33" s="53">
        <v>15706967</v>
      </c>
      <c r="E33" s="53">
        <v>15711848</v>
      </c>
      <c r="F33" s="54">
        <v>0.49074074074074081</v>
      </c>
      <c r="G33" s="54">
        <v>0.66666666666666663</v>
      </c>
      <c r="H33" s="54">
        <v>0.70370370370370372</v>
      </c>
      <c r="I33" s="54">
        <v>0.44444444444444442</v>
      </c>
      <c r="J33" s="54">
        <v>0.46296296296296302</v>
      </c>
      <c r="K33" s="54">
        <v>0.79629629629629628</v>
      </c>
      <c r="L33" s="54">
        <v>0.26851851851851849</v>
      </c>
      <c r="M33" s="54">
        <v>0.12962962962962959</v>
      </c>
      <c r="N33" s="54">
        <v>0.42592592592592587</v>
      </c>
      <c r="O33" s="54">
        <v>0.51851851851851849</v>
      </c>
    </row>
    <row r="34" spans="1:15" ht="22.05" customHeight="1">
      <c r="A34" s="55" t="s">
        <v>201</v>
      </c>
      <c r="B34" s="55" t="s">
        <v>133</v>
      </c>
      <c r="C34" s="55" t="s">
        <v>162</v>
      </c>
      <c r="D34" s="53">
        <v>15711741</v>
      </c>
      <c r="E34" s="53">
        <v>15716673</v>
      </c>
      <c r="F34" s="54">
        <v>0.46810699588477372</v>
      </c>
      <c r="G34" s="54">
        <v>0.55555555555555558</v>
      </c>
      <c r="H34" s="54">
        <v>0.72222222222222221</v>
      </c>
      <c r="I34" s="54">
        <v>8.3333333333333329E-2</v>
      </c>
      <c r="J34" s="54">
        <v>0.37037037037037029</v>
      </c>
      <c r="K34" s="54">
        <v>0.40740740740740738</v>
      </c>
      <c r="L34" s="54">
        <v>0.37037037037037029</v>
      </c>
      <c r="M34" s="54">
        <v>0.83333333333333337</v>
      </c>
      <c r="N34" s="54">
        <v>0.40740740740740738</v>
      </c>
      <c r="O34" s="54">
        <v>0.46296296296296302</v>
      </c>
    </row>
    <row r="35" spans="1:15" ht="22.05" customHeight="1">
      <c r="A35" s="55" t="s">
        <v>151</v>
      </c>
      <c r="B35" s="55" t="s">
        <v>133</v>
      </c>
      <c r="C35" s="55" t="s">
        <v>152</v>
      </c>
      <c r="D35" s="53">
        <v>15177942</v>
      </c>
      <c r="E35" s="53">
        <v>15183579</v>
      </c>
      <c r="F35" s="54">
        <v>0.45987654320987659</v>
      </c>
      <c r="G35" s="54">
        <v>0.51851851851851849</v>
      </c>
      <c r="H35" s="54">
        <v>0.2407407407407407</v>
      </c>
      <c r="I35" s="54">
        <v>0.37962962962962971</v>
      </c>
      <c r="J35" s="54">
        <v>0.55555555555555558</v>
      </c>
      <c r="K35" s="54">
        <v>0.57407407407407407</v>
      </c>
      <c r="L35" s="54">
        <v>0.55555555555555558</v>
      </c>
      <c r="M35" s="54">
        <v>0.37037037037037029</v>
      </c>
      <c r="N35" s="54">
        <v>0.35185185185185192</v>
      </c>
      <c r="O35" s="54">
        <v>0.59259259259259256</v>
      </c>
    </row>
    <row r="36" spans="1:15" ht="22.05" customHeight="1">
      <c r="A36" s="55" t="s">
        <v>132</v>
      </c>
      <c r="B36" s="55" t="s">
        <v>133</v>
      </c>
      <c r="C36" s="55" t="s">
        <v>134</v>
      </c>
      <c r="D36" s="53">
        <v>14669877</v>
      </c>
      <c r="E36" s="53">
        <v>14675087</v>
      </c>
      <c r="F36" s="54">
        <v>0.45473251028806588</v>
      </c>
      <c r="G36" s="54">
        <v>0.59259259259259256</v>
      </c>
      <c r="H36" s="54">
        <v>0.7592592592592593</v>
      </c>
      <c r="I36" s="54">
        <v>0.28703703703703698</v>
      </c>
      <c r="J36" s="54">
        <v>0.29629629629629628</v>
      </c>
      <c r="K36" s="54">
        <v>0.35185185185185192</v>
      </c>
      <c r="L36" s="54">
        <v>0.1018518518518518</v>
      </c>
      <c r="M36" s="54">
        <v>0.55555555555555558</v>
      </c>
      <c r="N36" s="54">
        <v>0.7592592592592593</v>
      </c>
      <c r="O36" s="54">
        <v>0.3888888888888889</v>
      </c>
    </row>
    <row r="37" spans="1:15" ht="22.05" customHeight="1">
      <c r="A37" s="55" t="s">
        <v>203</v>
      </c>
      <c r="B37" s="55" t="s">
        <v>133</v>
      </c>
      <c r="C37" s="55" t="s">
        <v>166</v>
      </c>
      <c r="D37" s="53">
        <v>15762279</v>
      </c>
      <c r="E37" s="53">
        <v>15766698</v>
      </c>
      <c r="F37" s="54">
        <v>0.42181069958847739</v>
      </c>
      <c r="G37" s="54">
        <v>0.57407407407407407</v>
      </c>
      <c r="H37" s="54">
        <v>0.55555555555555558</v>
      </c>
      <c r="I37" s="54">
        <v>0.62962962962962965</v>
      </c>
      <c r="J37" s="54">
        <v>0.31481481481481483</v>
      </c>
      <c r="K37" s="54">
        <v>0.5</v>
      </c>
      <c r="L37" s="54">
        <v>0.16666666666666671</v>
      </c>
      <c r="M37" s="54">
        <v>0.42592592592592587</v>
      </c>
      <c r="N37" s="54">
        <v>0.25925925925925919</v>
      </c>
      <c r="O37" s="54">
        <v>0.37037037037037029</v>
      </c>
    </row>
    <row r="38" spans="1:15" ht="22.05" customHeight="1">
      <c r="A38" s="55" t="s">
        <v>149</v>
      </c>
      <c r="B38" s="55" t="s">
        <v>133</v>
      </c>
      <c r="C38" s="55" t="s">
        <v>150</v>
      </c>
      <c r="D38" s="53">
        <v>15105354</v>
      </c>
      <c r="E38" s="53">
        <v>15110659</v>
      </c>
      <c r="F38" s="54">
        <v>0.41975308641975312</v>
      </c>
      <c r="G38" s="54">
        <v>0.27777777777777779</v>
      </c>
      <c r="H38" s="54">
        <v>0.51851851851851849</v>
      </c>
      <c r="I38" s="54">
        <v>0.28703703703703698</v>
      </c>
      <c r="J38" s="54">
        <v>0.3888888888888889</v>
      </c>
      <c r="K38" s="54">
        <v>0.31481481481481483</v>
      </c>
      <c r="L38" s="54">
        <v>0.52777777777777779</v>
      </c>
      <c r="M38" s="54">
        <v>0.7592592592592593</v>
      </c>
      <c r="N38" s="54">
        <v>0.37037037037037029</v>
      </c>
      <c r="O38" s="54">
        <v>0.33333333333333331</v>
      </c>
    </row>
    <row r="39" spans="1:15" ht="22.05" customHeight="1">
      <c r="A39" s="55" t="s">
        <v>16</v>
      </c>
      <c r="B39" s="55" t="s">
        <v>135</v>
      </c>
      <c r="C39" s="55" t="s">
        <v>136</v>
      </c>
      <c r="D39" s="53">
        <v>15221300</v>
      </c>
      <c r="E39" s="53">
        <v>15226920</v>
      </c>
      <c r="F39" s="54">
        <v>0.41049382716049382</v>
      </c>
      <c r="G39" s="54">
        <v>0.44444444444444442</v>
      </c>
      <c r="H39" s="54">
        <v>0.62962962962962965</v>
      </c>
      <c r="I39" s="54">
        <v>8.3333333333333329E-2</v>
      </c>
      <c r="J39" s="54">
        <v>0.35185185185185192</v>
      </c>
      <c r="K39" s="54">
        <v>0.31481481481481483</v>
      </c>
      <c r="L39" s="54">
        <v>0.35185185185185192</v>
      </c>
      <c r="M39" s="54">
        <v>0.59259259259259256</v>
      </c>
      <c r="N39" s="54">
        <v>0.7407407407407407</v>
      </c>
      <c r="O39" s="54">
        <v>0.1851851851851852</v>
      </c>
    </row>
    <row r="40" spans="1:15" ht="22.05" customHeight="1">
      <c r="A40" s="55" t="s">
        <v>190</v>
      </c>
      <c r="B40" s="55" t="s">
        <v>133</v>
      </c>
      <c r="C40" s="55" t="s">
        <v>189</v>
      </c>
      <c r="D40" s="53">
        <v>15570848</v>
      </c>
      <c r="E40" s="53">
        <v>15575700</v>
      </c>
      <c r="F40" s="54">
        <v>0.389917695473251</v>
      </c>
      <c r="G40" s="54">
        <v>0.3888888888888889</v>
      </c>
      <c r="H40" s="54">
        <v>0.12962962962962959</v>
      </c>
      <c r="I40" s="54">
        <v>0.37962962962962971</v>
      </c>
      <c r="J40" s="54">
        <v>0.48148148148148151</v>
      </c>
      <c r="K40" s="54">
        <v>0.61111111111111116</v>
      </c>
      <c r="L40" s="54">
        <v>0.59259259259259256</v>
      </c>
      <c r="M40" s="54">
        <v>0.14814814814814811</v>
      </c>
      <c r="N40" s="54">
        <v>0.2407407407407407</v>
      </c>
      <c r="O40" s="54">
        <v>0.53703703703703709</v>
      </c>
    </row>
    <row r="41" spans="1:15" ht="22.05" customHeight="1">
      <c r="A41" s="55" t="s">
        <v>12</v>
      </c>
      <c r="B41" s="55" t="s">
        <v>135</v>
      </c>
      <c r="C41" s="55" t="s">
        <v>136</v>
      </c>
      <c r="D41" s="53">
        <v>15658220</v>
      </c>
      <c r="E41" s="53">
        <v>15658910</v>
      </c>
      <c r="F41" s="54">
        <v>0.38786008230452668</v>
      </c>
      <c r="G41" s="54">
        <v>0.25925925925925919</v>
      </c>
      <c r="H41" s="54">
        <v>0.85185185185185186</v>
      </c>
      <c r="I41" s="54">
        <v>0.7407407407407407</v>
      </c>
      <c r="J41" s="54">
        <v>0.53703703703703709</v>
      </c>
      <c r="K41" s="54">
        <v>0.1111111111111111</v>
      </c>
      <c r="L41" s="54">
        <v>0.23148148148148151</v>
      </c>
      <c r="M41" s="54">
        <v>0.2407407407407407</v>
      </c>
      <c r="N41" s="54">
        <v>7.407407407407407E-2</v>
      </c>
      <c r="O41" s="54">
        <v>0.44444444444444442</v>
      </c>
    </row>
    <row r="42" spans="1:15" ht="22.05" customHeight="1">
      <c r="A42" s="55" t="s">
        <v>14</v>
      </c>
      <c r="B42" s="55" t="s">
        <v>135</v>
      </c>
      <c r="C42" s="55" t="s">
        <v>136</v>
      </c>
      <c r="D42" s="53">
        <v>15446547</v>
      </c>
      <c r="E42" s="53">
        <v>15451946</v>
      </c>
      <c r="F42" s="54">
        <v>0.35699588477366251</v>
      </c>
      <c r="G42" s="54">
        <v>0.35185185185185192</v>
      </c>
      <c r="H42" s="54">
        <v>0.16666666666666671</v>
      </c>
      <c r="I42" s="54">
        <v>0.21296296296296299</v>
      </c>
      <c r="J42" s="54">
        <v>0.44444444444444442</v>
      </c>
      <c r="K42" s="54">
        <v>0.44444444444444442</v>
      </c>
      <c r="L42" s="54">
        <v>0.5</v>
      </c>
      <c r="M42" s="54">
        <v>0.3888888888888889</v>
      </c>
      <c r="N42" s="54">
        <v>0.3888888888888889</v>
      </c>
      <c r="O42" s="54">
        <v>0.31481481481481483</v>
      </c>
    </row>
    <row r="43" spans="1:15" ht="22.05" customHeight="1">
      <c r="A43" s="55" t="s">
        <v>159</v>
      </c>
      <c r="B43" s="55" t="s">
        <v>133</v>
      </c>
      <c r="C43" s="55" t="s">
        <v>160</v>
      </c>
      <c r="D43" s="53">
        <v>15224458</v>
      </c>
      <c r="E43" s="53">
        <v>15230035</v>
      </c>
      <c r="F43" s="54">
        <v>0.35288065843621408</v>
      </c>
      <c r="G43" s="54">
        <v>0.37037037037037029</v>
      </c>
      <c r="H43" s="54">
        <v>0.27777777777777779</v>
      </c>
      <c r="I43" s="54">
        <v>0.1759259259259259</v>
      </c>
      <c r="J43" s="54">
        <v>0.2407407407407407</v>
      </c>
      <c r="K43" s="54">
        <v>0.62962962962962965</v>
      </c>
      <c r="L43" s="54">
        <v>0.29629629629629628</v>
      </c>
      <c r="M43" s="54">
        <v>0.62962962962962965</v>
      </c>
      <c r="N43" s="54">
        <v>0.33333333333333331</v>
      </c>
      <c r="O43" s="54">
        <v>0.22222222222222221</v>
      </c>
    </row>
    <row r="44" spans="1:15" ht="22.05" customHeight="1">
      <c r="A44" s="55" t="s">
        <v>157</v>
      </c>
      <c r="B44" s="55" t="s">
        <v>133</v>
      </c>
      <c r="C44" s="55" t="s">
        <v>158</v>
      </c>
      <c r="D44" s="53">
        <v>15219891</v>
      </c>
      <c r="E44" s="53">
        <v>15224925</v>
      </c>
      <c r="F44" s="54">
        <v>0.34876543209876543</v>
      </c>
      <c r="G44" s="54">
        <v>0.42592592592592587</v>
      </c>
      <c r="H44" s="54">
        <v>0.59259259259259256</v>
      </c>
      <c r="I44" s="54">
        <v>0.1759259259259259</v>
      </c>
      <c r="J44" s="54">
        <v>0.27777777777777779</v>
      </c>
      <c r="K44" s="54">
        <v>0.25925925925925919</v>
      </c>
      <c r="L44" s="54">
        <v>0.32407407407407413</v>
      </c>
      <c r="M44" s="54">
        <v>0.44444444444444442</v>
      </c>
      <c r="N44" s="54">
        <v>0.47222222222222221</v>
      </c>
      <c r="O44" s="54">
        <v>0.16666666666666671</v>
      </c>
    </row>
    <row r="45" spans="1:15" ht="22.05" customHeight="1">
      <c r="A45" s="55" t="s">
        <v>146</v>
      </c>
      <c r="B45" s="55" t="s">
        <v>133</v>
      </c>
      <c r="C45" s="55" t="s">
        <v>147</v>
      </c>
      <c r="D45" s="53">
        <v>15008719</v>
      </c>
      <c r="E45" s="53">
        <v>15013622</v>
      </c>
      <c r="F45" s="54">
        <v>0.34053497942386829</v>
      </c>
      <c r="G45" s="54">
        <v>0.1111111111111111</v>
      </c>
      <c r="H45" s="54">
        <v>0.14814814814814811</v>
      </c>
      <c r="I45" s="54">
        <v>0.55555555555555558</v>
      </c>
      <c r="J45" s="54">
        <v>0.25925925925925919</v>
      </c>
      <c r="K45" s="54">
        <v>0.12962962962962959</v>
      </c>
      <c r="L45" s="54">
        <v>0.3888888888888889</v>
      </c>
      <c r="M45" s="54">
        <v>0.77777777777777779</v>
      </c>
      <c r="N45" s="54">
        <v>0.21296296296296299</v>
      </c>
      <c r="O45" s="54">
        <v>0.48148148148148151</v>
      </c>
    </row>
    <row r="46" spans="1:15" ht="22.05" customHeight="1">
      <c r="A46" s="55" t="s">
        <v>144</v>
      </c>
      <c r="B46" s="55" t="s">
        <v>133</v>
      </c>
      <c r="C46" s="55" t="s">
        <v>145</v>
      </c>
      <c r="D46" s="53">
        <v>14875948</v>
      </c>
      <c r="E46" s="53">
        <v>14881117</v>
      </c>
      <c r="F46" s="54">
        <v>0.32201646090534969</v>
      </c>
      <c r="G46" s="54">
        <v>5.5555555555555552E-2</v>
      </c>
      <c r="H46" s="54">
        <v>0.1851851851851852</v>
      </c>
      <c r="I46" s="54">
        <v>0.44444444444444442</v>
      </c>
      <c r="J46" s="54">
        <v>0.1851851851851852</v>
      </c>
      <c r="K46" s="54">
        <v>0.16666666666666671</v>
      </c>
      <c r="L46" s="54">
        <v>0.47222222222222221</v>
      </c>
      <c r="M46" s="54">
        <v>0.46296296296296302</v>
      </c>
      <c r="N46" s="54">
        <v>0.79629629629629628</v>
      </c>
      <c r="O46" s="54">
        <v>0.12962962962962959</v>
      </c>
    </row>
    <row r="47" spans="1:15" ht="22.05" customHeight="1">
      <c r="A47" s="55" t="s">
        <v>165</v>
      </c>
      <c r="B47" s="55" t="s">
        <v>133</v>
      </c>
      <c r="C47" s="55" t="s">
        <v>166</v>
      </c>
      <c r="D47" s="53">
        <v>15377985</v>
      </c>
      <c r="E47" s="53">
        <v>15382881</v>
      </c>
      <c r="F47" s="54">
        <v>0.31378600823045272</v>
      </c>
      <c r="G47" s="54">
        <v>0.20370370370370369</v>
      </c>
      <c r="H47" s="54">
        <v>0.46296296296296302</v>
      </c>
      <c r="I47" s="54">
        <v>5.5555555555555552E-2</v>
      </c>
      <c r="J47" s="54">
        <v>0.20370370370370369</v>
      </c>
      <c r="K47" s="54">
        <v>0.31481481481481483</v>
      </c>
      <c r="L47" s="54">
        <v>0.26851851851851849</v>
      </c>
      <c r="M47" s="54">
        <v>0.40740740740740738</v>
      </c>
      <c r="N47" s="54">
        <v>0.66666666666666663</v>
      </c>
      <c r="O47" s="54">
        <v>0.2407407407407407</v>
      </c>
    </row>
    <row r="48" spans="1:15" ht="22.05" customHeight="1">
      <c r="A48" s="55" t="s">
        <v>18</v>
      </c>
      <c r="B48" s="55" t="s">
        <v>135</v>
      </c>
      <c r="C48" s="55" t="s">
        <v>136</v>
      </c>
      <c r="D48" s="53">
        <v>14840677</v>
      </c>
      <c r="E48" s="53">
        <v>14846134</v>
      </c>
      <c r="F48" s="54">
        <v>0.30555555555555552</v>
      </c>
      <c r="G48" s="54">
        <v>0.2407407407407407</v>
      </c>
      <c r="H48" s="54">
        <v>0.57407407407407407</v>
      </c>
      <c r="I48" s="54">
        <v>0.28703703703703698</v>
      </c>
      <c r="J48" s="54">
        <v>0.12962962962962959</v>
      </c>
      <c r="K48" s="54">
        <v>0.2407407407407407</v>
      </c>
      <c r="L48" s="54">
        <v>0.16666666666666671</v>
      </c>
      <c r="M48" s="54">
        <v>0.88888888888888884</v>
      </c>
      <c r="N48" s="54">
        <v>0.16666666666666671</v>
      </c>
      <c r="O48" s="54">
        <v>5.5555555555555552E-2</v>
      </c>
    </row>
    <row r="49" spans="1:15" ht="22.05" customHeight="1">
      <c r="A49" s="55" t="s">
        <v>161</v>
      </c>
      <c r="B49" s="55" t="s">
        <v>133</v>
      </c>
      <c r="C49" s="55" t="s">
        <v>162</v>
      </c>
      <c r="D49" s="53">
        <v>15278042</v>
      </c>
      <c r="E49" s="53">
        <v>15283252</v>
      </c>
      <c r="F49" s="54">
        <v>0.27777777777777779</v>
      </c>
      <c r="G49" s="54">
        <v>0.31481481481481483</v>
      </c>
      <c r="H49" s="54">
        <v>0.31481481481481483</v>
      </c>
      <c r="I49" s="54">
        <v>0.51851851851851849</v>
      </c>
      <c r="J49" s="54">
        <v>0.1111111111111111</v>
      </c>
      <c r="K49" s="54">
        <v>0.20370370370370369</v>
      </c>
      <c r="L49" s="54">
        <v>0.20370370370370369</v>
      </c>
      <c r="M49" s="54">
        <v>0.25925925925925919</v>
      </c>
      <c r="N49" s="54">
        <v>0.31481481481481483</v>
      </c>
      <c r="O49" s="54">
        <v>0.25925925925925919</v>
      </c>
    </row>
    <row r="50" spans="1:15" ht="22.05" customHeight="1">
      <c r="A50" s="55" t="s">
        <v>19</v>
      </c>
      <c r="B50" s="55" t="s">
        <v>135</v>
      </c>
      <c r="C50" s="55" t="s">
        <v>136</v>
      </c>
      <c r="D50" s="53">
        <v>15171260</v>
      </c>
      <c r="E50" s="53">
        <v>15176448</v>
      </c>
      <c r="F50" s="54">
        <v>0.25617283950617281</v>
      </c>
      <c r="G50" s="54">
        <v>0.1851851851851852</v>
      </c>
      <c r="H50" s="54">
        <v>0.25925925925925919</v>
      </c>
      <c r="I50" s="54">
        <v>0.51851851851851849</v>
      </c>
      <c r="J50" s="54">
        <v>9.2592592592592587E-2</v>
      </c>
      <c r="K50" s="54">
        <v>0.22222222222222221</v>
      </c>
      <c r="L50" s="54">
        <v>0.32407407407407413</v>
      </c>
      <c r="M50" s="54">
        <v>0.33333333333333331</v>
      </c>
      <c r="N50" s="54">
        <v>0.27777777777777779</v>
      </c>
      <c r="O50" s="54">
        <v>9.2592592592592587E-2</v>
      </c>
    </row>
    <row r="51" spans="1:15" ht="22.05" customHeight="1">
      <c r="A51" s="55" t="s">
        <v>142</v>
      </c>
      <c r="B51" s="55" t="s">
        <v>133</v>
      </c>
      <c r="C51" s="55" t="s">
        <v>143</v>
      </c>
      <c r="D51" s="53">
        <v>14800504</v>
      </c>
      <c r="E51" s="53">
        <v>14801224</v>
      </c>
      <c r="F51" s="54">
        <v>0.25411522633744849</v>
      </c>
      <c r="G51" s="54">
        <v>0.29629629629629628</v>
      </c>
      <c r="H51" s="54">
        <v>0.42592592592592587</v>
      </c>
      <c r="I51" s="54">
        <v>1.8518518518518521E-2</v>
      </c>
      <c r="J51" s="54">
        <v>0.33333333333333331</v>
      </c>
      <c r="K51" s="54">
        <v>0.3888888888888889</v>
      </c>
      <c r="L51" s="54">
        <v>0.41666666666666669</v>
      </c>
      <c r="M51" s="54">
        <v>5.5555555555555552E-2</v>
      </c>
      <c r="N51" s="54">
        <v>7.407407407407407E-2</v>
      </c>
      <c r="O51" s="54">
        <v>0.27777777777777779</v>
      </c>
    </row>
    <row r="52" spans="1:15" ht="22.05" customHeight="1">
      <c r="A52" s="55" t="s">
        <v>137</v>
      </c>
      <c r="B52" s="55" t="s">
        <v>133</v>
      </c>
      <c r="C52" s="55" t="s">
        <v>138</v>
      </c>
      <c r="D52" s="53">
        <v>14753428</v>
      </c>
      <c r="E52" s="53">
        <v>14758692</v>
      </c>
      <c r="F52" s="54">
        <v>0.2098765432098765</v>
      </c>
      <c r="G52" s="54">
        <v>7.407407407407407E-2</v>
      </c>
      <c r="H52" s="54">
        <v>7.407407407407407E-2</v>
      </c>
      <c r="I52" s="54">
        <v>0.12962962962962959</v>
      </c>
      <c r="J52" s="54">
        <v>0.14814814814814811</v>
      </c>
      <c r="K52" s="54">
        <v>0.14814814814814811</v>
      </c>
      <c r="L52" s="54">
        <v>0.16666666666666671</v>
      </c>
      <c r="M52" s="54">
        <v>0.87037037037037035</v>
      </c>
      <c r="N52" s="54">
        <v>7.407407407407407E-2</v>
      </c>
      <c r="O52" s="54">
        <v>0.20370370370370369</v>
      </c>
    </row>
    <row r="53" spans="1:15" ht="22.05" customHeight="1">
      <c r="A53" s="55" t="s">
        <v>17</v>
      </c>
      <c r="B53" s="55" t="s">
        <v>135</v>
      </c>
      <c r="C53" s="55" t="s">
        <v>136</v>
      </c>
      <c r="D53" s="53">
        <v>14718760</v>
      </c>
      <c r="E53" s="53">
        <v>14724010</v>
      </c>
      <c r="F53" s="54">
        <v>0.19753086419753091</v>
      </c>
      <c r="G53" s="54">
        <v>0.12962962962962959</v>
      </c>
      <c r="H53" s="54">
        <v>5.5555555555555552E-2</v>
      </c>
      <c r="I53" s="54">
        <v>0.37962962962962971</v>
      </c>
      <c r="J53" s="54">
        <v>0.16666666666666671</v>
      </c>
      <c r="K53" s="54">
        <v>5.5555555555555552E-2</v>
      </c>
      <c r="L53" s="54">
        <v>0.23148148148148151</v>
      </c>
      <c r="M53" s="54">
        <v>0.5</v>
      </c>
      <c r="N53" s="54">
        <v>0.1851851851851852</v>
      </c>
      <c r="O53" s="54">
        <v>7.407407407407407E-2</v>
      </c>
    </row>
    <row r="54" spans="1:15" ht="22.05" customHeight="1">
      <c r="A54" s="55" t="s">
        <v>139</v>
      </c>
      <c r="B54" s="55" t="s">
        <v>133</v>
      </c>
      <c r="C54" s="55" t="s">
        <v>140</v>
      </c>
      <c r="D54" s="53">
        <v>14787659</v>
      </c>
      <c r="E54" s="53">
        <v>14793048</v>
      </c>
      <c r="F54" s="54">
        <v>0.1851851851851852</v>
      </c>
      <c r="G54" s="54">
        <v>0.14814814814814811</v>
      </c>
      <c r="H54" s="54">
        <v>0.1111111111111111</v>
      </c>
      <c r="I54" s="54">
        <v>0.37962962962962971</v>
      </c>
      <c r="J54" s="54">
        <v>7.407407407407407E-2</v>
      </c>
      <c r="K54" s="54">
        <v>9.2592592592592587E-2</v>
      </c>
      <c r="L54" s="54">
        <v>0.1018518518518518</v>
      </c>
      <c r="M54" s="54">
        <v>0.53703703703703709</v>
      </c>
      <c r="N54" s="54">
        <v>7.407407407407407E-2</v>
      </c>
      <c r="O54" s="54">
        <v>0.14814814814814811</v>
      </c>
    </row>
    <row r="55" spans="1:15" ht="22.05" customHeight="1">
      <c r="A55" s="55" t="s">
        <v>141</v>
      </c>
      <c r="B55" s="55" t="s">
        <v>133</v>
      </c>
      <c r="C55" s="55" t="s">
        <v>140</v>
      </c>
      <c r="D55" s="53">
        <v>14789978</v>
      </c>
      <c r="E55" s="53">
        <v>14790458</v>
      </c>
      <c r="F55" s="54">
        <v>0.18415637860082301</v>
      </c>
      <c r="G55" s="54">
        <v>0.16666666666666671</v>
      </c>
      <c r="H55" s="54">
        <v>0.48148148148148151</v>
      </c>
      <c r="I55" s="54">
        <v>3.7037037037037028E-2</v>
      </c>
      <c r="J55" s="54">
        <v>0.22222222222222221</v>
      </c>
      <c r="K55" s="54">
        <v>0.27777777777777779</v>
      </c>
      <c r="L55" s="54">
        <v>4.6296296296296287E-2</v>
      </c>
      <c r="M55" s="54">
        <v>5.5555555555555552E-2</v>
      </c>
      <c r="N55" s="54">
        <v>7.407407407407407E-2</v>
      </c>
      <c r="O55" s="54">
        <v>0.29629629629629628</v>
      </c>
    </row>
    <row r="56" spans="1:15" ht="22.05" customHeight="1">
      <c r="A56" s="55" t="s">
        <v>163</v>
      </c>
      <c r="B56" s="55" t="s">
        <v>133</v>
      </c>
      <c r="C56" s="55" t="s">
        <v>164</v>
      </c>
      <c r="D56" s="53">
        <v>15287839</v>
      </c>
      <c r="E56" s="53">
        <v>15293149</v>
      </c>
      <c r="F56" s="54">
        <v>0.16563786008230449</v>
      </c>
      <c r="G56" s="54">
        <v>9.2592592592592587E-2</v>
      </c>
      <c r="H56" s="54">
        <v>0.22222222222222221</v>
      </c>
      <c r="I56" s="54">
        <v>0.2407407407407407</v>
      </c>
      <c r="J56" s="54">
        <v>5.5555555555555552E-2</v>
      </c>
      <c r="K56" s="54">
        <v>7.407407407407407E-2</v>
      </c>
      <c r="L56" s="54">
        <v>0.12962962962962959</v>
      </c>
      <c r="M56" s="54">
        <v>0.35185185185185192</v>
      </c>
      <c r="N56" s="54">
        <v>0.21296296296296299</v>
      </c>
      <c r="O56" s="54">
        <v>0.1111111111111111</v>
      </c>
    </row>
    <row r="57" spans="1:15" ht="22.05" customHeight="1">
      <c r="A57" s="55" t="s">
        <v>20</v>
      </c>
      <c r="B57" s="55" t="s">
        <v>135</v>
      </c>
      <c r="C57" s="55" t="s">
        <v>136</v>
      </c>
      <c r="D57" s="53">
        <v>15433884</v>
      </c>
      <c r="E57" s="53">
        <v>15439151</v>
      </c>
      <c r="F57" s="54">
        <v>0.1018518518518519</v>
      </c>
      <c r="G57" s="54">
        <v>3.7037037037037028E-2</v>
      </c>
      <c r="H57" s="54">
        <v>3.7037037037037028E-2</v>
      </c>
      <c r="I57" s="54">
        <v>0.33333333333333331</v>
      </c>
      <c r="J57" s="54">
        <v>3.7037037037037028E-2</v>
      </c>
      <c r="K57" s="54">
        <v>3.7037037037037028E-2</v>
      </c>
      <c r="L57" s="54">
        <v>4.6296296296296287E-2</v>
      </c>
      <c r="M57" s="54">
        <v>0.27777777777777779</v>
      </c>
      <c r="N57" s="54">
        <v>7.407407407407407E-2</v>
      </c>
      <c r="O57" s="54">
        <v>3.7037037037037028E-2</v>
      </c>
    </row>
    <row r="58" spans="1:15" ht="28.8" customHeight="1">
      <c r="A58" s="55" t="s">
        <v>21</v>
      </c>
      <c r="B58" s="55" t="s">
        <v>135</v>
      </c>
      <c r="C58" s="55" t="s">
        <v>136</v>
      </c>
      <c r="D58" s="53">
        <v>15434539</v>
      </c>
      <c r="E58" s="53">
        <v>15436055</v>
      </c>
      <c r="F58" s="54">
        <v>6.7901234567901217E-2</v>
      </c>
      <c r="G58" s="54">
        <v>1.8518518518518521E-2</v>
      </c>
      <c r="H58" s="54">
        <v>1.8518518518518521E-2</v>
      </c>
      <c r="I58" s="54">
        <v>0.21296296296296299</v>
      </c>
      <c r="J58" s="54">
        <v>1.8518518518518521E-2</v>
      </c>
      <c r="K58" s="54">
        <v>1.8518518518518521E-2</v>
      </c>
      <c r="L58" s="54">
        <v>4.6296296296296287E-2</v>
      </c>
      <c r="M58" s="54">
        <v>0.1851851851851852</v>
      </c>
      <c r="N58" s="54">
        <v>7.407407407407407E-2</v>
      </c>
      <c r="O58" s="54">
        <v>1.8518518518518521E-2</v>
      </c>
    </row>
    <row r="59" spans="1:15" hidden="1"/>
    <row r="60" spans="1:15" ht="19.2" customHeight="1">
      <c r="A60" s="105" t="s">
        <v>55</v>
      </c>
      <c r="B60" s="115"/>
      <c r="C60" s="115"/>
      <c r="D60" s="115"/>
      <c r="E60" s="115"/>
      <c r="F60" s="115"/>
      <c r="G60" s="115"/>
      <c r="H60" s="115"/>
      <c r="I60" s="115"/>
      <c r="J60" s="115"/>
      <c r="K60" s="115"/>
      <c r="L60" s="115"/>
      <c r="M60" s="115"/>
      <c r="N60" s="115"/>
      <c r="O60" s="115"/>
    </row>
    <row r="61" spans="1:15" ht="18" customHeight="1">
      <c r="A61" s="86" t="s">
        <v>268</v>
      </c>
      <c r="B61" s="110"/>
      <c r="C61" s="110"/>
      <c r="D61" s="110"/>
      <c r="E61" s="110"/>
      <c r="F61" s="110"/>
      <c r="G61" s="110"/>
      <c r="H61" s="110"/>
      <c r="I61" s="110"/>
      <c r="J61" s="110"/>
      <c r="K61" s="110"/>
      <c r="L61" s="110"/>
      <c r="M61" s="110"/>
      <c r="N61" s="110"/>
      <c r="O61" s="110"/>
    </row>
    <row r="62" spans="1:15" ht="16.2" customHeight="1">
      <c r="A62" s="86" t="s">
        <v>269</v>
      </c>
      <c r="B62" s="110"/>
      <c r="C62" s="110"/>
      <c r="D62" s="110"/>
      <c r="E62" s="110"/>
      <c r="F62" s="110"/>
      <c r="G62" s="110"/>
      <c r="H62" s="110"/>
      <c r="I62" s="110"/>
      <c r="J62" s="110"/>
      <c r="K62" s="110"/>
      <c r="L62" s="110"/>
      <c r="M62" s="110"/>
      <c r="N62" s="110"/>
      <c r="O62" s="110"/>
    </row>
    <row r="63" spans="1:15" ht="14.4" customHeight="1">
      <c r="A63" s="86" t="s">
        <v>270</v>
      </c>
      <c r="B63" s="110"/>
      <c r="C63" s="110"/>
      <c r="D63" s="110"/>
      <c r="E63" s="110"/>
      <c r="F63" s="110"/>
      <c r="G63" s="110"/>
      <c r="H63" s="110"/>
      <c r="I63" s="110"/>
      <c r="J63" s="110"/>
      <c r="K63" s="110"/>
      <c r="L63" s="110"/>
      <c r="M63" s="110"/>
      <c r="N63" s="110"/>
      <c r="O63" s="110"/>
    </row>
    <row r="64" spans="1:15" ht="18" customHeight="1">
      <c r="A64" s="86" t="s">
        <v>271</v>
      </c>
      <c r="B64" s="110"/>
      <c r="C64" s="110"/>
      <c r="D64" s="110"/>
      <c r="E64" s="110"/>
      <c r="F64" s="110"/>
      <c r="G64" s="110"/>
      <c r="H64" s="110"/>
      <c r="I64" s="110"/>
      <c r="J64" s="110"/>
      <c r="K64" s="110"/>
      <c r="L64" s="110"/>
      <c r="M64" s="110"/>
      <c r="N64" s="110"/>
      <c r="O64" s="110"/>
    </row>
    <row r="65" spans="1:15" ht="16.8" customHeight="1">
      <c r="A65" s="86" t="s">
        <v>272</v>
      </c>
      <c r="B65" s="110"/>
      <c r="C65" s="110"/>
      <c r="D65" s="110"/>
      <c r="E65" s="110"/>
      <c r="F65" s="110"/>
      <c r="G65" s="110"/>
      <c r="H65" s="110"/>
      <c r="I65" s="110"/>
      <c r="J65" s="110"/>
      <c r="K65" s="110"/>
      <c r="L65" s="110"/>
      <c r="M65" s="110"/>
      <c r="N65" s="110"/>
      <c r="O65" s="110"/>
    </row>
    <row r="66" spans="1:15" ht="21" customHeight="1">
      <c r="A66" s="86" t="s">
        <v>273</v>
      </c>
      <c r="B66" s="110"/>
      <c r="C66" s="110"/>
      <c r="D66" s="110"/>
      <c r="E66" s="110"/>
      <c r="F66" s="110"/>
      <c r="G66" s="110"/>
      <c r="H66" s="110"/>
      <c r="I66" s="110"/>
      <c r="J66" s="110"/>
      <c r="K66" s="110"/>
      <c r="L66" s="110"/>
      <c r="M66" s="110"/>
      <c r="N66" s="110"/>
      <c r="O66" s="110"/>
    </row>
  </sheetData>
  <mergeCells count="10">
    <mergeCell ref="A66:O66"/>
    <mergeCell ref="A1:O1"/>
    <mergeCell ref="A61:O61"/>
    <mergeCell ref="A62:O62"/>
    <mergeCell ref="A3:O3"/>
    <mergeCell ref="A65:O65"/>
    <mergeCell ref="A2:O2"/>
    <mergeCell ref="A63:O63"/>
    <mergeCell ref="A64:O64"/>
    <mergeCell ref="A60:O6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2"/>
  <sheetViews>
    <sheetView tabSelected="1" workbookViewId="0">
      <pane ySplit="4" topLeftCell="A6" activePane="bottomLeft" state="frozen"/>
      <selection pane="bottomLeft" activeCell="I19" sqref="I19"/>
    </sheetView>
  </sheetViews>
  <sheetFormatPr defaultRowHeight="14.4"/>
  <cols>
    <col min="1" max="1" width="26" customWidth="1"/>
    <col min="2" max="2" width="42" customWidth="1"/>
    <col min="3" max="6" width="15" customWidth="1"/>
  </cols>
  <sheetData>
    <row r="1" spans="1:6" ht="27" customHeight="1">
      <c r="A1" s="116" t="s">
        <v>278</v>
      </c>
      <c r="B1" s="116"/>
      <c r="C1" s="116"/>
      <c r="D1" s="116"/>
      <c r="E1" s="116"/>
      <c r="F1" s="116"/>
    </row>
    <row r="2" spans="1:6" ht="9" customHeight="1">
      <c r="A2" s="116"/>
      <c r="B2" s="116"/>
      <c r="C2" s="116"/>
      <c r="D2" s="116"/>
      <c r="E2" s="116"/>
      <c r="F2" s="116"/>
    </row>
    <row r="4" spans="1:6" ht="25.05" customHeight="1">
      <c r="A4" s="96" t="s">
        <v>279</v>
      </c>
      <c r="B4" s="96"/>
      <c r="C4" s="96"/>
      <c r="D4" s="96"/>
      <c r="E4" s="96"/>
      <c r="F4" s="96"/>
    </row>
    <row r="5" spans="1:6" hidden="1"/>
    <row r="6" spans="1:6" ht="62.4" customHeight="1">
      <c r="A6" s="97" t="s">
        <v>280</v>
      </c>
      <c r="B6" s="72" t="s">
        <v>281</v>
      </c>
    </row>
    <row r="7" spans="1:6" ht="37.049999999999997" customHeight="1">
      <c r="A7" s="97" t="s">
        <v>282</v>
      </c>
      <c r="B7" s="72" t="s">
        <v>283</v>
      </c>
    </row>
    <row r="8" spans="1:6" ht="37.049999999999997" customHeight="1">
      <c r="A8" s="97" t="s">
        <v>284</v>
      </c>
      <c r="B8" s="72" t="s">
        <v>285</v>
      </c>
    </row>
    <row r="9" spans="1:6" ht="46.2" customHeight="1">
      <c r="A9" s="97" t="s">
        <v>286</v>
      </c>
      <c r="B9" s="72" t="s">
        <v>287</v>
      </c>
    </row>
    <row r="10" spans="1:6" ht="37.049999999999997" customHeight="1">
      <c r="A10" s="97" t="s">
        <v>288</v>
      </c>
      <c r="B10" s="72" t="s">
        <v>285</v>
      </c>
    </row>
    <row r="11" spans="1:6" ht="37.049999999999997" customHeight="1">
      <c r="A11" s="97" t="s">
        <v>289</v>
      </c>
      <c r="B11" s="72" t="s">
        <v>290</v>
      </c>
    </row>
    <row r="12" spans="1:6" ht="37.049999999999997" customHeight="1">
      <c r="A12" s="97" t="s">
        <v>291</v>
      </c>
      <c r="B12" s="72" t="s">
        <v>292</v>
      </c>
    </row>
    <row r="13" spans="1:6" ht="37.049999999999997" customHeight="1">
      <c r="A13" s="97" t="s">
        <v>293</v>
      </c>
      <c r="B13" s="72" t="s">
        <v>294</v>
      </c>
    </row>
    <row r="14" spans="1:6" ht="37.049999999999997" customHeight="1">
      <c r="A14" s="97" t="s">
        <v>295</v>
      </c>
      <c r="B14" s="72" t="s">
        <v>296</v>
      </c>
    </row>
    <row r="15" spans="1:6" ht="37.049999999999997" customHeight="1">
      <c r="A15" s="97" t="s">
        <v>297</v>
      </c>
      <c r="B15" s="72" t="s">
        <v>298</v>
      </c>
    </row>
    <row r="17" spans="1:6" ht="25.05" customHeight="1">
      <c r="A17" s="96" t="s">
        <v>299</v>
      </c>
      <c r="B17" s="96"/>
      <c r="C17" s="96"/>
      <c r="D17" s="96"/>
      <c r="E17" s="96"/>
      <c r="F17" s="96"/>
    </row>
    <row r="18" spans="1:6" ht="33" customHeight="1">
      <c r="A18" s="117" t="s">
        <v>300</v>
      </c>
      <c r="B18" s="117"/>
      <c r="C18" s="117"/>
      <c r="D18" s="117"/>
      <c r="E18" s="117"/>
      <c r="F18" s="117"/>
    </row>
    <row r="19" spans="1:6" ht="31.2" customHeight="1">
      <c r="A19" s="117" t="s">
        <v>301</v>
      </c>
      <c r="B19" s="117"/>
      <c r="C19" s="117"/>
      <c r="D19" s="117"/>
      <c r="E19" s="117"/>
      <c r="F19" s="117"/>
    </row>
    <row r="20" spans="1:6" ht="31.8" customHeight="1">
      <c r="A20" s="117" t="s">
        <v>302</v>
      </c>
      <c r="B20" s="117"/>
      <c r="C20" s="117"/>
      <c r="D20" s="117"/>
      <c r="E20" s="117"/>
      <c r="F20" s="117"/>
    </row>
    <row r="21" spans="1:6" ht="33.6" customHeight="1">
      <c r="A21" s="117" t="s">
        <v>303</v>
      </c>
      <c r="B21" s="117"/>
      <c r="C21" s="117"/>
      <c r="D21" s="117"/>
      <c r="E21" s="117"/>
      <c r="F21" s="117"/>
    </row>
    <row r="22" spans="1:6" ht="19.2" customHeight="1">
      <c r="A22" s="117" t="s">
        <v>304</v>
      </c>
      <c r="B22" s="117"/>
      <c r="C22" s="117"/>
      <c r="D22" s="117"/>
      <c r="E22" s="117"/>
      <c r="F22" s="117"/>
    </row>
  </sheetData>
  <mergeCells count="8">
    <mergeCell ref="A20:F20"/>
    <mergeCell ref="A21:F21"/>
    <mergeCell ref="A22:F22"/>
    <mergeCell ref="A1:F2"/>
    <mergeCell ref="A4:F4"/>
    <mergeCell ref="A17:F17"/>
    <mergeCell ref="A18:F18"/>
    <mergeCell ref="A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S1</vt:lpstr>
      <vt:lpstr>S2</vt:lpstr>
      <vt:lpstr>S3</vt:lpstr>
      <vt:lpstr>S4a</vt:lpstr>
      <vt:lpstr>S4b</vt:lpstr>
      <vt:lpstr>S5</vt:lpstr>
      <vt:lpstr>S6a</vt:lpstr>
      <vt:lpstr>S6b</vt:lpstr>
      <vt:lpstr>S7</vt:lpstr>
      <vt:lpstr>S8</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Ali Abbasi</cp:lastModifiedBy>
  <dcterms:modified xsi:type="dcterms:W3CDTF">2026-10-16T05:08:58Z</dcterms:modified>
</cp:coreProperties>
</file>