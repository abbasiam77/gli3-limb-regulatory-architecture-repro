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E:\Amir Various research data_Oct 20th 2024\GLI3 review_Aug 2023\3D genome analysis stuff\Limbs\Publication work_june 2024\Re-Submission to Developmental Biology-Stuff\Combined Figs and Data\Supplementary Tables\"/>
    </mc:Choice>
  </mc:AlternateContent>
  <xr:revisionPtr revIDLastSave="0" documentId="13_ncr:1_{CADBB29A-07F0-463B-BD98-BB7EDA8BE8FC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S1" sheetId="1" r:id="rId1"/>
    <sheet name="S2" sheetId="2" r:id="rId2"/>
    <sheet name="S3" sheetId="3" r:id="rId3"/>
    <sheet name="S4a" sheetId="4" r:id="rId4"/>
    <sheet name="S4b" sheetId="5" r:id="rId5"/>
    <sheet name="S5" sheetId="6" r:id="rId6"/>
    <sheet name="S6a" sheetId="7" r:id="rId7"/>
    <sheet name="S6b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7" i="6" l="1"/>
  <c r="K17" i="6"/>
  <c r="J17" i="6"/>
  <c r="I17" i="6"/>
  <c r="L17" i="6" s="1"/>
  <c r="N17" i="6" s="1"/>
  <c r="E17" i="6"/>
  <c r="M16" i="6"/>
  <c r="K16" i="6"/>
  <c r="J16" i="6"/>
  <c r="I16" i="6"/>
  <c r="L16" i="6" s="1"/>
  <c r="N16" i="6" s="1"/>
  <c r="E16" i="6"/>
  <c r="M15" i="6"/>
  <c r="K15" i="6"/>
  <c r="J15" i="6"/>
  <c r="I15" i="6"/>
  <c r="L15" i="6" s="1"/>
  <c r="N15" i="6" s="1"/>
  <c r="O15" i="6" s="1"/>
  <c r="P15" i="6" s="1"/>
  <c r="E15" i="6"/>
  <c r="M14" i="6"/>
  <c r="K14" i="6"/>
  <c r="J14" i="6"/>
  <c r="I14" i="6"/>
  <c r="L14" i="6" s="1"/>
  <c r="N14" i="6" s="1"/>
  <c r="E14" i="6"/>
  <c r="M13" i="6"/>
  <c r="K13" i="6"/>
  <c r="J13" i="6"/>
  <c r="I13" i="6"/>
  <c r="L13" i="6" s="1"/>
  <c r="N13" i="6" s="1"/>
  <c r="E13" i="6"/>
  <c r="M12" i="6"/>
  <c r="K12" i="6"/>
  <c r="J12" i="6"/>
  <c r="I12" i="6"/>
  <c r="L12" i="6" s="1"/>
  <c r="N12" i="6" s="1"/>
  <c r="E12" i="6"/>
  <c r="M11" i="6"/>
  <c r="K11" i="6"/>
  <c r="J11" i="6"/>
  <c r="I11" i="6"/>
  <c r="E11" i="6"/>
  <c r="M10" i="6"/>
  <c r="K10" i="6"/>
  <c r="J10" i="6"/>
  <c r="I10" i="6"/>
  <c r="E10" i="6"/>
  <c r="M9" i="6"/>
  <c r="K9" i="6"/>
  <c r="J9" i="6"/>
  <c r="I9" i="6"/>
  <c r="L9" i="6" s="1"/>
  <c r="N9" i="6" s="1"/>
  <c r="E9" i="6"/>
  <c r="M8" i="6"/>
  <c r="K8" i="6"/>
  <c r="J8" i="6"/>
  <c r="I8" i="6"/>
  <c r="E8" i="6"/>
  <c r="M7" i="6"/>
  <c r="K7" i="6"/>
  <c r="J7" i="6"/>
  <c r="I7" i="6"/>
  <c r="L7" i="6" s="1"/>
  <c r="N7" i="6" s="1"/>
  <c r="E7" i="6"/>
  <c r="M6" i="6"/>
  <c r="K6" i="6"/>
  <c r="J6" i="6"/>
  <c r="I6" i="6"/>
  <c r="L6" i="6" s="1"/>
  <c r="N6" i="6" s="1"/>
  <c r="O6" i="6" s="1"/>
  <c r="P6" i="6" s="1"/>
  <c r="E6" i="6"/>
  <c r="M5" i="6"/>
  <c r="K5" i="6"/>
  <c r="J5" i="6"/>
  <c r="I5" i="6"/>
  <c r="E5" i="6"/>
  <c r="L11" i="6" l="1"/>
  <c r="N11" i="6" s="1"/>
  <c r="O11" i="6"/>
  <c r="P11" i="6" s="1"/>
  <c r="L10" i="6"/>
  <c r="N10" i="6" s="1"/>
  <c r="L8" i="6"/>
  <c r="N8" i="6" s="1"/>
  <c r="O8" i="6" s="1"/>
  <c r="P8" i="6" s="1"/>
  <c r="L5" i="6"/>
  <c r="N5" i="6" s="1"/>
  <c r="O14" i="6"/>
  <c r="P14" i="6" s="1"/>
  <c r="O17" i="6"/>
  <c r="P17" i="6" s="1"/>
  <c r="O12" i="6"/>
  <c r="P12" i="6" s="1"/>
  <c r="O16" i="6"/>
  <c r="P16" i="6" s="1"/>
  <c r="O13" i="6"/>
  <c r="P13" i="6" s="1"/>
  <c r="O10" i="6"/>
  <c r="P10" i="6" s="1"/>
  <c r="O7" i="6"/>
  <c r="P7" i="6" s="1"/>
  <c r="O5" i="6"/>
  <c r="P5" i="6" s="1"/>
  <c r="O9" i="6"/>
  <c r="P9" i="6" s="1"/>
</calcChain>
</file>

<file path=xl/sharedStrings.xml><?xml version="1.0" encoding="utf-8"?>
<sst xmlns="http://schemas.openxmlformats.org/spreadsheetml/2006/main" count="828" uniqueCount="260">
  <si>
    <t>Table S1: Supporting Data for Fig. 2C — mean ChIP-seq signal across Gli3 limb enhancers (mm9)</t>
  </si>
  <si>
    <t>WT hindlimb E11.5 (mm9). Signals are mean bigWig values across each enhancer interval.</t>
  </si>
  <si>
    <t>Enhancer_short</t>
  </si>
  <si>
    <t>Enhancer_ID_full</t>
  </si>
  <si>
    <t>Location</t>
  </si>
  <si>
    <t>H3K4me1_mean</t>
  </si>
  <si>
    <t>H3K27ac_mean</t>
  </si>
  <si>
    <t>H3K4me3_mean</t>
  </si>
  <si>
    <t>CNE14</t>
  </si>
  <si>
    <t>CNE14_hs1586_mm1977</t>
  </si>
  <si>
    <t>intronic</t>
  </si>
  <si>
    <t>CNE19</t>
  </si>
  <si>
    <t>CNE18</t>
  </si>
  <si>
    <t>mm2018</t>
  </si>
  <si>
    <t>CNE21</t>
  </si>
  <si>
    <t>CNE13</t>
  </si>
  <si>
    <t>mm1889</t>
  </si>
  <si>
    <t>upstream</t>
  </si>
  <si>
    <t>mm2164</t>
  </si>
  <si>
    <t>mm2080</t>
  </si>
  <si>
    <t>mm2176</t>
  </si>
  <si>
    <t>mm1859</t>
  </si>
  <si>
    <t>mm1887</t>
  </si>
  <si>
    <t>mm1179</t>
  </si>
  <si>
    <t>Footnotes</t>
  </si>
  <si>
    <t>1) Genome build: mm9. Enhancer intervals and signal summaries are in mm9 coordinates.</t>
  </si>
  <si>
    <t>2) Signals represent mean bigWig values across each enhancer interval for WT hindlimb E11.5 (merged track).</t>
  </si>
  <si>
    <t>3) H3K4me1 and H3K27ac are enhancer-associated marks; H3K4me3 is a promoter-associated mark included as a control for promoter proximity/overlap.</t>
  </si>
  <si>
    <t>4) Location annotation indicates whether the enhancer lies within the Gli3 intronic region (intronic) or 5′ of the gene body (upstream), as defined in the Fig2 coordinate track set.</t>
  </si>
  <si>
    <t>5) Sorting: enhancers are grouped by Location (intronic first, then upstream), and within each group sorted by H3K4me1_mean (descending).</t>
  </si>
  <si>
    <t>6) This table supports Fig. 2C, which displays the same mean signals on a shared axis to enable direct mark-by-mark comparison per enhancer.</t>
  </si>
  <si>
    <t>7) If a value is 0.000, it indicates either negligible signal across the interval or absence of signal in the provided bigWig track at that region (not a missing-data code).</t>
  </si>
  <si>
    <t>8) File provenance: Source TSV path is recorded in row 3. Track files are in your Fig2 folder (raw/*.bw) and enhancer tracks (coords/*.bw).</t>
  </si>
  <si>
    <t>Table S2. Supporting Data for Fig. 3C: HOX13 binding over Gli3 limb enhancers (mm10)</t>
  </si>
  <si>
    <t>Summary of HOXA13 and HOXD13 ChIP-seq signal (bigWig) across curated Gli3 limb enhancer intervals.</t>
  </si>
  <si>
    <t>chrom</t>
  </si>
  <si>
    <t>start</t>
  </si>
  <si>
    <t>end</t>
  </si>
  <si>
    <t>enhancer</t>
  </si>
  <si>
    <t>group</t>
  </si>
  <si>
    <t>len_bp</t>
  </si>
  <si>
    <t>mean_HOXA13</t>
  </si>
  <si>
    <t>mean_HOXD13</t>
  </si>
  <si>
    <t>max_HOXA13</t>
  </si>
  <si>
    <t>max_HOXD13</t>
  </si>
  <si>
    <t>sum_mean</t>
  </si>
  <si>
    <t>chr13</t>
  </si>
  <si>
    <t>Table S3. Supporting Data for Figure S1: Enhancer-wise GLI3 occupancy at the Gli3 limb enhancer repertoire (mm10; WT E11.5 limb)</t>
  </si>
  <si>
    <t>Enhancer_ID</t>
  </si>
  <si>
    <t>Class</t>
  </si>
  <si>
    <t>Chromosome</t>
  </si>
  <si>
    <t>Start_mm10</t>
  </si>
  <si>
    <t>End_mm10</t>
  </si>
  <si>
    <t>Length_bp</t>
  </si>
  <si>
    <t>Midpoint_Mb</t>
  </si>
  <si>
    <t>Mean_log2_ChIP_over_Input</t>
  </si>
  <si>
    <t>Notes:</t>
  </si>
  <si>
    <t>1) Coordinates are mm10 (Chromosome, Start_mm10, End_mm10). Length_bp = End_mm10 − Start_mm10; Midpoint_Mb = (Start_mm10 + End_mm10)/2 in megabases.</t>
  </si>
  <si>
    <t>3) Mean_log2_ChIP_over_Input is the mean log2(ChIP/Input) signal averaged across the full enhancer interval, computed from the GLI3 E11.5 limb log2 enrichment bigWig.</t>
  </si>
  <si>
    <t>4) GLI3 ChIP-seq runs used: SRR11907926, SRR11907927, SRR11907928. Alignments: Bowtie2; processing: samtools sort/index/merge; CPM normalization and log2 track derived from ChIP/Input bigWigs.</t>
  </si>
  <si>
    <t>5) Interpretation note: narrow peak-like binding within larger enhancer intervals can yield near-zero mean values when averaged across the full interval; refer to IGV tracks in Supplementary Fig. Sx for local peak structure.</t>
  </si>
  <si>
    <t>Table S4 (a). Supporting data for Figure S2: Virtual 4C signal vector anchored at the Gli3 promoter in E11.5 hindlimb Hi-C (mm9)</t>
  </si>
  <si>
    <t>Overview</t>
  </si>
  <si>
    <t>Dataset (GEO)</t>
  </si>
  <si>
    <t>GSE116791 (mouse E11.5 hindlimb bud Hi-C)</t>
  </si>
  <si>
    <t>Genome build</t>
  </si>
  <si>
    <t>NCBI37 / mm9</t>
  </si>
  <si>
    <t>Matrix normalization / signal</t>
  </si>
  <si>
    <t>KR-balanced; Observed/Expected (O/E) at 10 kb</t>
  </si>
  <si>
    <t>Viewpoint (Gli3 promoter/TSS bin)</t>
  </si>
  <si>
    <t>chr13:15,550,000-15,560,000 (10 kb bin; center=15,555,000)</t>
  </si>
  <si>
    <t>Plotted window</t>
  </si>
  <si>
    <t>chr13:14,732,034–16,103,316 (mm9); vector aligned to 10 kb bins (14,730,000–16,100,000)</t>
  </si>
  <si>
    <t>Enhancer annotations</t>
  </si>
  <si>
    <t>Curated Gli3 limb enhancers in mm9; intronic (light green in figure) vs upstream (gold); CNE6 excluded</t>
  </si>
  <si>
    <t>Chromosome (mm9)</t>
  </si>
  <si>
    <t>Bin start (bp)</t>
  </si>
  <si>
    <t>Bin end (bp)</t>
  </si>
  <si>
    <t>Bin center (bp)</t>
  </si>
  <si>
    <t>Position (Mb, center)</t>
  </si>
  <si>
    <t>Virtual 4C signal (O/E, KR)</t>
  </si>
  <si>
    <t>Distance from promoter bin (kb)</t>
  </si>
  <si>
    <t>Enhancer overlap (mm9)</t>
  </si>
  <si>
    <t>mm1179;mm1887</t>
  </si>
  <si>
    <t>mm1887;mm1889</t>
  </si>
  <si>
    <t>CNE14/hs1586/mm1977</t>
  </si>
  <si>
    <t>Notes</t>
  </si>
  <si>
    <t>• Signal values are KR-balanced observed/expected (O/E) contacts extracted from the .hic file at 10 kb resolution using Juicer Tools.</t>
  </si>
  <si>
    <t>• The promoter viewpoint corresponds to the 10 kb bin containing the Gli3 promoter/TSS (chr13:15,550,000–15,560,000; mm9).</t>
  </si>
  <si>
    <t>• Bins are reported as start/end/center coordinates (mm9). Distance is computed from the viewpoint bin center (positive = downstream, negative = upstream).</t>
  </si>
  <si>
    <t>• Enhancer overlap indicates enhancer intervals that intersect a given 10 kb bin (mm9 coordinates). Enhancers are categorized as intronic or upstream in the companion sheet.</t>
  </si>
  <si>
    <t>• Hi-C is population-averaged; Virtual 4C profiles summarize relative contact enrichment and do not alone establish specific enhancer–promoter looping.</t>
  </si>
  <si>
    <t>Table S4 (b):  Supporting data for Figure S2: Enhancer coordinates used for Virtual 4C figure overlay (mm9)</t>
  </si>
  <si>
    <t>chr</t>
  </si>
  <si>
    <t>start_mm9</t>
  </si>
  <si>
    <t>end_mm9</t>
  </si>
  <si>
    <t>mid_mm9</t>
  </si>
  <si>
    <t>enhancer_id</t>
  </si>
  <si>
    <t>Supplementary Table S5. Enhancer prioritization extension using p300, HAND2, and PITX1 occupancy datasets</t>
  </si>
  <si>
    <t>Gli3 locus enhancer set (n=13). Percentiles are within-factor across these 13 enhancers (mm9-quantified; mm10 coordinates shown).</t>
  </si>
  <si>
    <t>Datasets used (scoring) and embryonic stages: p300: E11.5 embryonic limb (GSE13845, GSM348066); PITX1: E11.5 embryonic hindlimb bud (GSE41591, GSM1019784 &amp; GSM1019786); HAND2: early embryonic limb bud (reported E10.5) (GSE55707, GSM1342122 WT &amp; GSM1342121 3xF). HAND2 GSM1447340 reprocessed track retained as descriptive-only.</t>
  </si>
  <si>
    <t>Enhancer ID</t>
  </si>
  <si>
    <t>chr (mm10)</t>
  </si>
  <si>
    <t>start (mm10)</t>
  </si>
  <si>
    <t>end (mm10)</t>
  </si>
  <si>
    <t>length (bp)</t>
  </si>
  <si>
    <t>p300 percentile</t>
  </si>
  <si>
    <t>PITX1 percentile</t>
  </si>
  <si>
    <t>HAND2 percentile</t>
  </si>
  <si>
    <t>p300 support (≥0.67)</t>
  </si>
  <si>
    <t>PITX1 support (≥0.67)</t>
  </si>
  <si>
    <t>HAND2 support (≥0.67)</t>
  </si>
  <si>
    <t># factors supported</t>
  </si>
  <si>
    <t>Mean factor percentile</t>
  </si>
  <si>
    <t>Support breadth</t>
  </si>
  <si>
    <t>Composite priority score</t>
  </si>
  <si>
    <t>Priority tier</t>
  </si>
  <si>
    <t>Interpretation note</t>
  </si>
  <si>
    <t>Consistent multi-factor occupancy support across available bulk datasets; high prioritization support.</t>
  </si>
  <si>
    <t>PITX1-supported with limited p300/HAND2 bulk occupancy in available datasets; factor-specific support pattern.</t>
  </si>
  <si>
    <t>Low bulk occupancy across available datasets; modest signal does not exclude genetic relevance or context-specific activity.</t>
  </si>
  <si>
    <t>1) Enhancer set: 13 Gli3 locus enhancers (same set as HOX13/GLI3 enhancer-wise quantification tables). Coordinates shown in mm10; quantification performed on mm9 processed tracks using mm10→mm9 liftOver of enhancer intervals.</t>
  </si>
  <si>
    <t>2) Embryonic stages and tissues: p300 (E11.5 embryonic limb); PITX1 (E11.5 embryonic hindlimb bud, two replicates); HAND2 (early embryonic limb bud, reported E10.5; WT and 3xF tracks used for scoring).</t>
  </si>
  <si>
    <t>3) Signal extraction: enhancer-wise signal computed as mean coverage across the full enhancer interval using UCSC bigWigAverageOverBed (mean0).</t>
  </si>
  <si>
    <t>4) Percentiles: within-factor percentiles across the 13 enhancers (1.0 = highest; 0.0 = lowest). PITX1 and HAND2 percentiles are factor-level aggregates (median across scoring datasets for that factor).</t>
  </si>
  <si>
    <t>5) Support flag: factor supports an enhancer when factor percentile ≥ 0.67 (top ~1/3 for that factor).</t>
  </si>
  <si>
    <t>6) Composite priority score: 0.75 × mean_factor_percentile + 0.25 × support_breadth_fraction, where support_breadth_fraction = (# factors supported)/3.</t>
  </si>
  <si>
    <t>7) Priority tiers: Tier A = composite ≥ 0.70 and ≥2 factors supported; Tier B = composite ≥ 0.45 OR ≥1 factor supported; Tier C otherwise. Tiers are for prioritization guidance, not functional calls.</t>
  </si>
  <si>
    <t>8) Dataset provenance: p300 GSM348066 (GSE13845); PITX1 GSM1019784 and GSM1019786 (GSE41591); HAND2 GSM1342122 (WT) and GSM1342121 (3xF) (GSE55707). HAND2 GSM1447340 reprocessed track retained as descriptive-only (excluded from scoring aggregation).</t>
  </si>
  <si>
    <t>9) Interpretation guardrail: occupancy support reflects sampled bulk ChIP-seq conditions and does not establish enhancer causality. Modest signal can reflect timing differences, tissue heterogeneity, or focal occupancy diluted across the enhancer interval.</t>
  </si>
  <si>
    <t>2) Enhancer classes: upstream (gold) and intronic (green) correspond to the curated Gli3 limb enhancer interval sets used in Supplementary Fig. S2 (panel C).</t>
  </si>
  <si>
    <r>
      <rPr>
        <b/>
        <sz val="12"/>
        <color rgb="FF333333"/>
        <rFont val="Calibri"/>
        <family val="2"/>
      </rPr>
      <t>Notes:</t>
    </r>
    <r>
      <rPr>
        <sz val="9"/>
        <color rgb="FF333333"/>
        <rFont val="Calibri"/>
      </rPr>
      <t xml:space="preserve">
1) Coordinates are mm10 (GRCm38). Enhancer names originate from the curated Gli3 limb enhancer list (mm9) and were lifted to mm10 using the UCSC mm9ToMm10 chain (unmapped=0).
2) HOXA13 and HOXD13 values are from the mm10 bigWig tracks (HOXA13_mm10_542mapping.bw and HOXD13_mm10_542mapping.bw). For each enhancer, mean_* is the average bigWig value across the interval; max_* is the maximum bigWig value within the interval.
3) group indicates whether the enhancer lies upstream of Gli3 (upstream; gold in genome tracks) or within the introns of Gli3 (intronic; green in genome tracks), main Fig. 3A.
4) sum_mean = mean_HOXA13 + mean_HOXD13. In the scatter plot, x = log10(1 + mean_HOXA13) and y = log10(1 + mean_HOXD13).</t>
    </r>
  </si>
  <si>
    <t>Footnotes:</t>
  </si>
  <si>
    <t>Supplementary Table S6. Comparative signal analysis of curated Gli3 limb enhancers and validated non-limb Gli3-region enhancers</t>
  </si>
  <si>
    <t>class</t>
  </si>
  <si>
    <t>activity_note</t>
  </si>
  <si>
    <t>start_mm10</t>
  </si>
  <si>
    <t>end_mm10</t>
  </si>
  <si>
    <t>chrom_mm9</t>
  </si>
  <si>
    <t>HOXA13_mean0</t>
  </si>
  <si>
    <t>HOXD13_mean0</t>
  </si>
  <si>
    <t>HOX13_sum_mean0</t>
  </si>
  <si>
    <t>GLI3_mean0</t>
  </si>
  <si>
    <t>H3K4me1_mean0</t>
  </si>
  <si>
    <t>H3K27ac_mean0</t>
  </si>
  <si>
    <t>H3K4me3_mean0</t>
  </si>
  <si>
    <t>HAND2_WT_mean0</t>
  </si>
  <si>
    <t>p300_mean0</t>
  </si>
  <si>
    <t>PITX1_HL1_mean0</t>
  </si>
  <si>
    <t>PITX1_HL2_mean0</t>
  </si>
  <si>
    <t>PITX1_mean0_average_HL1_HL2</t>
  </si>
  <si>
    <t>active_enhancer_score_H3K4me1_plus_H3K27ac</t>
  </si>
  <si>
    <t>mm2074</t>
  </si>
  <si>
    <t>non_limb</t>
  </si>
  <si>
    <t>Facial mesenchyme</t>
  </si>
  <si>
    <t>limb</t>
  </si>
  <si>
    <t>curated_validated_limb_enhancer</t>
  </si>
  <si>
    <t>mm2175</t>
  </si>
  <si>
    <t>Tail</t>
  </si>
  <si>
    <t>mm2059</t>
  </si>
  <si>
    <t>Midbrain, Neural tube</t>
  </si>
  <si>
    <t>mm2308</t>
  </si>
  <si>
    <t>mm2309</t>
  </si>
  <si>
    <t>Forebrain, Midbrain, Hindbrain</t>
  </si>
  <si>
    <t>mm2045</t>
  </si>
  <si>
    <t>Branchial arch, Forebrain</t>
  </si>
  <si>
    <t>mm1947</t>
  </si>
  <si>
    <t>Hindbrain, Other</t>
  </si>
  <si>
    <t>mm1408</t>
  </si>
  <si>
    <t>mm1862</t>
  </si>
  <si>
    <t>Branchial arch, Forebrain, Midbrain, Hindbrain, Neural tube, Eye</t>
  </si>
  <si>
    <t>mm2084</t>
  </si>
  <si>
    <t>Tail, Neural tube</t>
  </si>
  <si>
    <t>mm1969</t>
  </si>
  <si>
    <t>Ear, Tail, Dorsal root ganglion, Trigeminal V, Genital tubercle</t>
  </si>
  <si>
    <t>mm1824</t>
  </si>
  <si>
    <t>Tail, Dorsal root ganglion, Trigeminal V</t>
  </si>
  <si>
    <t>mm1873</t>
  </si>
  <si>
    <t>Genital tubercle</t>
  </si>
  <si>
    <t>mm1874</t>
  </si>
  <si>
    <t>Somite</t>
  </si>
  <si>
    <t>mm1879</t>
  </si>
  <si>
    <t>Forebrain, Midbrain, Hindbrain, Neural tube</t>
  </si>
  <si>
    <t>mm2169</t>
  </si>
  <si>
    <t>Heart, Genital tubercle</t>
  </si>
  <si>
    <t>mm1892</t>
  </si>
  <si>
    <t>Ear</t>
  </si>
  <si>
    <t>mm1893</t>
  </si>
  <si>
    <t>Forebrain, Hindbrain</t>
  </si>
  <si>
    <t>mm1410</t>
  </si>
  <si>
    <t>mm1896</t>
  </si>
  <si>
    <t>Nose</t>
  </si>
  <si>
    <t>mm1897</t>
  </si>
  <si>
    <t>Branchial arch, Cranial nerve, Heart</t>
  </si>
  <si>
    <t>mm1963</t>
  </si>
  <si>
    <t>Facial mesenchyme, Nose</t>
  </si>
  <si>
    <t>mm2192</t>
  </si>
  <si>
    <t>Heart</t>
  </si>
  <si>
    <t>mm1902</t>
  </si>
  <si>
    <t>Branchial arch, Forebrain, Midbrain, Hindbrain</t>
  </si>
  <si>
    <t>hs1213</t>
  </si>
  <si>
    <t>mm1911</t>
  </si>
  <si>
    <t>Branchial arch, Ear</t>
  </si>
  <si>
    <t>mm2019</t>
  </si>
  <si>
    <t>hs111</t>
  </si>
  <si>
    <t>Forebrain, Neural tube</t>
  </si>
  <si>
    <t>mm1912</t>
  </si>
  <si>
    <t>Facial mesenchyme, Forebrain</t>
  </si>
  <si>
    <t>mm1915</t>
  </si>
  <si>
    <t>Branchial arch, Nose, Midbrain, Heart</t>
  </si>
  <si>
    <t>mm1916</t>
  </si>
  <si>
    <t>mm1917</t>
  </si>
  <si>
    <t>Branchial arch</t>
  </si>
  <si>
    <t>mm1443</t>
  </si>
  <si>
    <t>mm1923</t>
  </si>
  <si>
    <t>Eye</t>
  </si>
  <si>
    <t>mm2171</t>
  </si>
  <si>
    <t>mm652</t>
  </si>
  <si>
    <t>Cranial nerve, Dorsal root ganglion, Heart</t>
  </si>
  <si>
    <t>mm2028</t>
  </si>
  <si>
    <t>Forebrain</t>
  </si>
  <si>
    <t>mm1935</t>
  </si>
  <si>
    <t>mm1940</t>
  </si>
  <si>
    <t>mm1941</t>
  </si>
  <si>
    <t>mm1827</t>
  </si>
  <si>
    <t>Hindbrain</t>
  </si>
  <si>
    <t>Footnotes and column definitions</t>
  </si>
  <si>
    <t>Purpose of analysis</t>
  </si>
  <si>
    <t>This table compares curated Gli3 limb enhancers with validated non-limb Gli3-region enhancers as a control/comparison analysis for the revised manuscript.</t>
  </si>
  <si>
    <t>Enhancer sets</t>
  </si>
  <si>
    <t>The limb set contains 13 curated, functionally validated Gli3 limb enhancers used in the manuscript. The non-limb set contains 41 validated VISTA enhancers located within the Gli3 region that have reported non-limb activity and no limb annotation.</t>
  </si>
  <si>
    <t>Coordinate systems</t>
  </si>
  <si>
    <t>HOXA13, HOXD13 and GLI3 signals were quantified in mm10 coordinates. H3K4me1, H3K27ac, H3K4me3, HAND2, p300 and PITX1 signals were quantified in mm9 coordinates after successful mm10-to-mm9 liftOver.</t>
  </si>
  <si>
    <t>Signal calculation</t>
  </si>
  <si>
    <t>Mean signal values were calculated across each enhancer interval using bigWigAverageOverBed.</t>
  </si>
  <si>
    <t>Mean0 definition</t>
  </si>
  <si>
    <t>Columns ending in '_mean0' report the bigWigAverageOverBed mean0 value, where uncovered bases within the interval are treated as zero.</t>
  </si>
  <si>
    <t>HOXA13 and HOXD13</t>
  </si>
  <si>
    <t>HOXA13_mean0 and HOXD13_mean0 report HOX13 transcription-factor signal in mm10 coordinates. HOX13_sum_mean0 is the sum of HOXA13_mean0 and HOXD13_mean0.</t>
  </si>
  <si>
    <t>GLI3</t>
  </si>
  <si>
    <t>GLI3_mean0 reports mean GLI3 log2 ChIP/input signal across each enhancer interval in mm10 coordinates.</t>
  </si>
  <si>
    <t>Histone marks</t>
  </si>
  <si>
    <t>H3K4me1_mean0, H3K27ac_mean0 and H3K4me3_mean0 report mean chromatin-mark signal across mm9 intervals.</t>
  </si>
  <si>
    <t>Active-enhancer score</t>
  </si>
  <si>
    <t>active_enhancer_score_H3K4me1_plus_H3K27ac is a simple descriptive score calculated as H3K4me1_mean0 plus H3K27ac_mean0.</t>
  </si>
  <si>
    <t>HAND2, p300 and PITX1</t>
  </si>
  <si>
    <t>HAND2_WT_mean0, p300_mean0, PITX1_HL1_mean0 and PITX1_HL2_mean0 report mean ChIP signal across mm9 intervals. PITX1_mean0_average_HL1_HL2 is the average of the two PITX1 hindlimb tracks.</t>
  </si>
  <si>
    <t>Interpretation</t>
  </si>
  <si>
    <t>Strong signal in a validated non-limb enhancer does not imply limb activity. Rather, it indicates that single-layer transcription-factor occupancy or chromatin signal is not sufficient to classify enhancer tissue specificity.</t>
  </si>
  <si>
    <t>Main conclusion</t>
  </si>
  <si>
    <t>The comparison supports multi-layer interpretation of Gli3 enhancer identity, integrating functional validation, tissue annotation, transcription-factor occupancy, chromatin marks and genomic context.</t>
  </si>
  <si>
    <t>Summary of limb versus non-limb enhancer signal distributions</t>
  </si>
  <si>
    <t>Signal</t>
  </si>
  <si>
    <t>N</t>
  </si>
  <si>
    <t>Mean</t>
  </si>
  <si>
    <t>Median</t>
  </si>
  <si>
    <t>Min</t>
  </si>
  <si>
    <t>Max</t>
  </si>
  <si>
    <t>Interpretive note</t>
  </si>
  <si>
    <t>Descriptive comparison; not a statistical classifier.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</si>
</sst>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000"/>
    <numFmt numFmtId="166" formatCode="0.0000"/>
    <numFmt numFmtId="167" formatCode="0.0"/>
  </numFmts>
  <fonts count="21" x14ac:knownFonts="1">
    <font>
      <sz val="11"/>
      <color theme="1"/>
      <name val="Calibri"/>
      <family val="2"/>
      <scheme val="minor"/>
    </font>
    <font>
      <b/>
      <sz val="16"/>
      <name val="Calibri"/>
    </font>
    <font>
      <i/>
      <sz val="11"/>
      <color rgb="FF444444"/>
      <name val="Calibri"/>
    </font>
    <font>
      <b/>
      <sz val="11"/>
      <color rgb="FFFFFFFF"/>
      <name val="Calibri"/>
    </font>
    <font>
      <b/>
      <sz val="12"/>
      <name val="Calibri"/>
    </font>
    <font>
      <b/>
      <sz val="14"/>
      <name val="Calibri"/>
    </font>
    <font>
      <sz val="9"/>
      <color rgb="FF333333"/>
      <name val="Calibri"/>
    </font>
    <font>
      <b/>
      <sz val="11"/>
      <name val="Calibri"/>
    </font>
    <font>
      <sz val="11"/>
      <name val="Calibri"/>
    </font>
    <font>
      <i/>
      <sz val="10"/>
      <name val="Calibri"/>
    </font>
    <font>
      <sz val="10"/>
      <name val="Calibri"/>
    </font>
    <font>
      <sz val="10"/>
      <color rgb="FF404040"/>
      <name val="Calibri"/>
    </font>
    <font>
      <sz val="10"/>
      <color rgb="FF333333"/>
      <name val="Calibri"/>
    </font>
    <font>
      <sz val="9"/>
      <color rgb="FF666666"/>
      <name val="Calibri"/>
    </font>
    <font>
      <sz val="9"/>
      <color rgb="FF333333"/>
      <name val="Calibri"/>
      <family val="2"/>
    </font>
    <font>
      <b/>
      <sz val="12"/>
      <color rgb="FF333333"/>
      <name val="Calibri"/>
      <family val="2"/>
    </font>
    <font>
      <b/>
      <sz val="12"/>
      <name val="Calibri"/>
      <family val="2"/>
    </font>
    <font>
      <sz val="12"/>
      <color theme="1"/>
      <name val="Calibri"/>
      <family val="2"/>
      <scheme val="minor"/>
    </font>
    <font>
      <i/>
      <sz val="10"/>
      <name val="Calibri"/>
      <family val="2"/>
    </font>
    <font>
      <b/>
      <sz val="14"/>
      <name val="Calibri"/>
      <family val="2"/>
    </font>
    <font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2F2F2"/>
      </patternFill>
    </fill>
    <fill>
      <patternFill patternType="solid">
        <fgColor rgb="FF1F4E78"/>
      </patternFill>
    </fill>
    <fill>
      <patternFill patternType="solid">
        <fgColor rgb="FFFCE4D6"/>
      </patternFill>
    </fill>
    <fill>
      <patternFill patternType="solid">
        <fgColor rgb="FFE2F0D9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</fills>
  <borders count="9">
    <border>
      <left/>
      <right/>
      <top/>
      <bottom/>
      <diagonal/>
    </border>
    <border>
      <left style="thin">
        <color rgb="FF9E9E9E"/>
      </left>
      <right style="thin">
        <color rgb="FF9E9E9E"/>
      </right>
      <top style="thin">
        <color rgb="FF9E9E9E"/>
      </top>
      <bottom style="thin">
        <color rgb="FF9E9E9E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indexed="6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/>
      <bottom style="thin">
        <color indexed="6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indexed="64"/>
      </bottom>
      <diagonal/>
    </border>
  </borders>
  <cellStyleXfs count="1">
    <xf numFmtId="0" fontId="0" fillId="0" borderId="0"/>
  </cellStyleXfs>
  <cellXfs count="81">
    <xf numFmtId="0" fontId="0" fillId="0" borderId="0" xfId="0"/>
    <xf numFmtId="0" fontId="3" fillId="2" borderId="0" xfId="0" applyFont="1" applyFill="1" applyAlignment="1">
      <alignment horizontal="center" vertical="center" wrapText="1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164" fontId="0" fillId="0" borderId="0" xfId="0" applyNumberFormat="1"/>
    <xf numFmtId="0" fontId="4" fillId="0" borderId="0" xfId="0" applyFont="1"/>
    <xf numFmtId="0" fontId="3" fillId="2" borderId="1" xfId="0" applyFont="1" applyFill="1" applyBorder="1" applyAlignment="1">
      <alignment horizontal="center" vertical="center"/>
    </xf>
    <xf numFmtId="0" fontId="0" fillId="0" borderId="1" xfId="0" applyBorder="1"/>
    <xf numFmtId="3" fontId="0" fillId="0" borderId="1" xfId="0" applyNumberFormat="1" applyBorder="1"/>
    <xf numFmtId="164" fontId="0" fillId="0" borderId="1" xfId="0" applyNumberFormat="1" applyBorder="1"/>
    <xf numFmtId="0" fontId="7" fillId="3" borderId="2" xfId="0" applyFont="1" applyFill="1" applyBorder="1" applyAlignment="1">
      <alignment horizontal="left" vertical="center" wrapText="1"/>
    </xf>
    <xf numFmtId="0" fontId="8" fillId="0" borderId="2" xfId="0" applyFont="1" applyBorder="1" applyAlignment="1">
      <alignment horizontal="left" vertical="top" wrapText="1"/>
    </xf>
    <xf numFmtId="1" fontId="8" fillId="0" borderId="2" xfId="0" applyNumberFormat="1" applyFont="1" applyBorder="1" applyAlignment="1">
      <alignment horizontal="left" vertical="top" wrapText="1"/>
    </xf>
    <xf numFmtId="165" fontId="8" fillId="0" borderId="2" xfId="0" applyNumberFormat="1" applyFont="1" applyBorder="1" applyAlignment="1">
      <alignment horizontal="left" vertical="top" wrapText="1"/>
    </xf>
    <xf numFmtId="0" fontId="8" fillId="0" borderId="3" xfId="0" applyFont="1" applyBorder="1" applyAlignment="1">
      <alignment horizontal="left" vertical="top" wrapText="1"/>
    </xf>
    <xf numFmtId="1" fontId="8" fillId="0" borderId="3" xfId="0" applyNumberFormat="1" applyFont="1" applyBorder="1" applyAlignment="1">
      <alignment horizontal="left" vertical="top" wrapText="1"/>
    </xf>
    <xf numFmtId="165" fontId="8" fillId="0" borderId="3" xfId="0" applyNumberFormat="1" applyFont="1" applyBorder="1" applyAlignment="1">
      <alignment horizontal="left" vertical="top" wrapText="1"/>
    </xf>
    <xf numFmtId="0" fontId="3" fillId="2" borderId="4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left" vertical="top"/>
    </xf>
    <xf numFmtId="3" fontId="0" fillId="0" borderId="4" xfId="0" applyNumberFormat="1" applyBorder="1" applyAlignment="1">
      <alignment horizontal="right" vertical="top"/>
    </xf>
    <xf numFmtId="164" fontId="0" fillId="0" borderId="4" xfId="0" applyNumberFormat="1" applyBorder="1" applyAlignment="1">
      <alignment horizontal="right" vertical="top"/>
    </xf>
    <xf numFmtId="166" fontId="0" fillId="0" borderId="4" xfId="0" applyNumberFormat="1" applyBorder="1" applyAlignment="1">
      <alignment horizontal="right" vertical="top"/>
    </xf>
    <xf numFmtId="167" fontId="0" fillId="0" borderId="4" xfId="0" applyNumberFormat="1" applyBorder="1" applyAlignment="1">
      <alignment horizontal="right" vertical="top"/>
    </xf>
    <xf numFmtId="0" fontId="0" fillId="0" borderId="4" xfId="0" applyBorder="1" applyAlignment="1">
      <alignment horizontal="left" vertical="top" wrapText="1"/>
    </xf>
    <xf numFmtId="0" fontId="0" fillId="0" borderId="5" xfId="0" applyBorder="1" applyAlignment="1">
      <alignment horizontal="left" vertical="top"/>
    </xf>
    <xf numFmtId="3" fontId="0" fillId="0" borderId="5" xfId="0" applyNumberFormat="1" applyBorder="1" applyAlignment="1">
      <alignment horizontal="right" vertical="top"/>
    </xf>
    <xf numFmtId="0" fontId="3" fillId="2" borderId="6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left" vertical="top" wrapText="1"/>
    </xf>
    <xf numFmtId="0" fontId="0" fillId="0" borderId="6" xfId="0" applyBorder="1" applyAlignment="1">
      <alignment horizontal="center" vertical="center"/>
    </xf>
    <xf numFmtId="1" fontId="0" fillId="0" borderId="6" xfId="0" applyNumberFormat="1" applyBorder="1" applyAlignment="1">
      <alignment horizontal="right" vertical="center"/>
    </xf>
    <xf numFmtId="164" fontId="0" fillId="0" borderId="6" xfId="0" applyNumberFormat="1" applyBorder="1" applyAlignment="1">
      <alignment horizontal="right" vertical="center"/>
    </xf>
    <xf numFmtId="0" fontId="0" fillId="0" borderId="6" xfId="0" applyBorder="1" applyAlignment="1">
      <alignment horizontal="right" vertical="center"/>
    </xf>
    <xf numFmtId="165" fontId="0" fillId="0" borderId="6" xfId="0" applyNumberFormat="1" applyBorder="1" applyAlignment="1">
      <alignment horizontal="right" vertical="center"/>
    </xf>
    <xf numFmtId="0" fontId="0" fillId="0" borderId="7" xfId="0" applyBorder="1" applyAlignment="1">
      <alignment horizontal="left"/>
    </xf>
    <xf numFmtId="0" fontId="0" fillId="0" borderId="7" xfId="0" applyBorder="1" applyAlignment="1">
      <alignment horizontal="center"/>
    </xf>
    <xf numFmtId="164" fontId="0" fillId="0" borderId="7" xfId="0" applyNumberFormat="1" applyBorder="1"/>
    <xf numFmtId="0" fontId="0" fillId="0" borderId="8" xfId="0" applyBorder="1" applyAlignment="1">
      <alignment horizontal="left" vertical="top" wrapText="1"/>
    </xf>
    <xf numFmtId="0" fontId="0" fillId="0" borderId="8" xfId="0" applyBorder="1" applyAlignment="1">
      <alignment horizontal="center" vertical="center"/>
    </xf>
    <xf numFmtId="1" fontId="0" fillId="0" borderId="8" xfId="0" applyNumberFormat="1" applyBorder="1" applyAlignment="1">
      <alignment horizontal="right" vertical="center"/>
    </xf>
    <xf numFmtId="164" fontId="0" fillId="0" borderId="8" xfId="0" applyNumberFormat="1" applyBorder="1" applyAlignment="1">
      <alignment horizontal="right" vertical="center"/>
    </xf>
    <xf numFmtId="0" fontId="0" fillId="0" borderId="8" xfId="0" applyBorder="1" applyAlignment="1">
      <alignment horizontal="right" vertical="center"/>
    </xf>
    <xf numFmtId="165" fontId="0" fillId="0" borderId="8" xfId="0" applyNumberFormat="1" applyBorder="1" applyAlignment="1">
      <alignment horizontal="right" vertical="center"/>
    </xf>
    <xf numFmtId="0" fontId="0" fillId="0" borderId="4" xfId="0" applyBorder="1" applyAlignment="1">
      <alignment vertical="top" wrapText="1"/>
    </xf>
    <xf numFmtId="0" fontId="0" fillId="5" borderId="4" xfId="0" applyFill="1" applyBorder="1" applyAlignment="1">
      <alignment vertical="top" wrapText="1"/>
    </xf>
    <xf numFmtId="0" fontId="0" fillId="6" borderId="4" xfId="0" applyFill="1" applyBorder="1" applyAlignment="1">
      <alignment vertical="top" wrapText="1"/>
    </xf>
    <xf numFmtId="0" fontId="0" fillId="0" borderId="4" xfId="0" applyBorder="1"/>
    <xf numFmtId="0" fontId="3" fillId="4" borderId="4" xfId="0" applyFont="1" applyFill="1" applyBorder="1" applyAlignment="1">
      <alignment horizontal="center" wrapText="1"/>
    </xf>
    <xf numFmtId="0" fontId="7" fillId="7" borderId="4" xfId="0" applyFont="1" applyFill="1" applyBorder="1" applyAlignment="1">
      <alignment vertical="top" wrapText="1"/>
    </xf>
    <xf numFmtId="0" fontId="16" fillId="8" borderId="0" xfId="0" applyFont="1" applyFill="1" applyAlignment="1">
      <alignment horizontal="left" vertical="center"/>
    </xf>
    <xf numFmtId="0" fontId="20" fillId="8" borderId="0" xfId="0" applyFont="1" applyFill="1"/>
    <xf numFmtId="0" fontId="3" fillId="4" borderId="4" xfId="0" applyFont="1" applyFill="1" applyBorder="1" applyAlignment="1">
      <alignment horizontal="left" vertical="center" wrapText="1"/>
    </xf>
    <xf numFmtId="0" fontId="0" fillId="5" borderId="4" xfId="0" applyFill="1" applyBorder="1" applyAlignment="1">
      <alignment horizontal="left" vertical="top" wrapText="1"/>
    </xf>
    <xf numFmtId="1" fontId="0" fillId="0" borderId="4" xfId="0" applyNumberFormat="1" applyBorder="1" applyAlignment="1">
      <alignment horizontal="left" vertical="top" wrapText="1"/>
    </xf>
    <xf numFmtId="164" fontId="0" fillId="0" borderId="4" xfId="0" applyNumberFormat="1" applyBorder="1" applyAlignment="1">
      <alignment horizontal="left" vertical="top" wrapText="1"/>
    </xf>
    <xf numFmtId="0" fontId="0" fillId="3" borderId="4" xfId="0" applyFill="1" applyBorder="1" applyAlignment="1">
      <alignment horizontal="left" vertical="top" wrapText="1"/>
    </xf>
    <xf numFmtId="0" fontId="0" fillId="6" borderId="4" xfId="0" applyFill="1" applyBorder="1" applyAlignment="1">
      <alignment horizontal="left" vertical="top" wrapText="1"/>
    </xf>
    <xf numFmtId="1" fontId="0" fillId="3" borderId="4" xfId="0" applyNumberFormat="1" applyFill="1" applyBorder="1" applyAlignment="1">
      <alignment horizontal="left" vertical="top" wrapText="1"/>
    </xf>
    <xf numFmtId="164" fontId="0" fillId="3" borderId="4" xfId="0" applyNumberFormat="1" applyFill="1" applyBorder="1" applyAlignment="1">
      <alignment horizontal="left" vertical="top" wrapText="1"/>
    </xf>
    <xf numFmtId="0" fontId="0" fillId="0" borderId="5" xfId="0" applyBorder="1" applyAlignment="1">
      <alignment vertical="top" wrapText="1"/>
    </xf>
    <xf numFmtId="0" fontId="0" fillId="5" borderId="5" xfId="0" applyFill="1" applyBorder="1" applyAlignment="1">
      <alignment vertical="top" wrapText="1"/>
    </xf>
    <xf numFmtId="0" fontId="0" fillId="0" borderId="0" xfId="0" applyAlignment="1">
      <alignment horizontal="left" vertical="top" wrapText="1"/>
    </xf>
    <xf numFmtId="0" fontId="0" fillId="0" borderId="0" xfId="0"/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0" fontId="14" fillId="0" borderId="0" xfId="0" applyFont="1" applyAlignment="1">
      <alignment horizontal="left" vertical="top" wrapText="1"/>
    </xf>
    <xf numFmtId="0" fontId="18" fillId="0" borderId="0" xfId="0" applyFont="1" applyAlignment="1">
      <alignment horizontal="left" vertical="top" wrapText="1"/>
    </xf>
    <xf numFmtId="0" fontId="9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16" fillId="0" borderId="0" xfId="0" applyFont="1" applyAlignment="1">
      <alignment horizontal="left" vertical="top" wrapText="1"/>
    </xf>
    <xf numFmtId="0" fontId="17" fillId="0" borderId="0" xfId="0" applyFont="1"/>
    <xf numFmtId="0" fontId="11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10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center" wrapText="1"/>
    </xf>
    <xf numFmtId="0" fontId="16" fillId="0" borderId="0" xfId="0" applyFont="1"/>
    <xf numFmtId="0" fontId="12" fillId="0" borderId="0" xfId="0" applyFont="1" applyAlignment="1">
      <alignment horizontal="left" vertical="top" wrapText="1"/>
    </xf>
    <xf numFmtId="0" fontId="13" fillId="0" borderId="0" xfId="0" applyFont="1"/>
    <xf numFmtId="0" fontId="19" fillId="7" borderId="0" xfId="0" applyFont="1" applyFill="1" applyAlignment="1">
      <alignment horizontal="left" vertical="center" wrapText="1"/>
    </xf>
    <xf numFmtId="0" fontId="19" fillId="7" borderId="0" xfId="0" applyFont="1" applyFill="1" applyAlignment="1">
      <alignment horizontal="left"/>
    </xf>
  </cellXfs>
  <cellStyles count="1">
    <cellStyle name="Normal" xfId="0" builtinId="0"/>
  </cellStyles>
  <dxfs count="3">
    <dxf>
      <fill>
        <patternFill>
          <bgColor rgb="FFF8CBAD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F9F3DBE-8DB1-453C-AD55-9CF65136E966}" name="Virtual4C_Table" displayName="Virtual4C_Table" ref="A10:H148">
  <autoFilter ref="A10:H148" xr:uid="{2F9F3DBE-8DB1-453C-AD55-9CF65136E966}"/>
  <tableColumns count="8">
    <tableColumn id="1" xr3:uid="{C46E5A5F-5FEB-4382-A8F5-A58144E639AA}" name="Chromosome (mm9)"/>
    <tableColumn id="2" xr3:uid="{1D8228F5-ECCD-4BD5-94D2-4737F79EE2C7}" name="Bin start (bp)"/>
    <tableColumn id="3" xr3:uid="{AB705E96-0C40-4A7F-A0D4-E28834CD3973}" name="Bin end (bp)"/>
    <tableColumn id="4" xr3:uid="{60F284FF-59E4-43E6-AE95-93D3943731E1}" name="Bin center (bp)"/>
    <tableColumn id="5" xr3:uid="{6BEFAA61-92BA-4A7F-948C-B79CE19101BF}" name="Position (Mb, center)"/>
    <tableColumn id="6" xr3:uid="{0DEE4868-C6F0-4E1C-9FB4-AD597A644BC3}" name="Virtual 4C signal (O/E, KR)"/>
    <tableColumn id="7" xr3:uid="{6A2B252E-0B73-4D81-84D1-A67DEF86CBAF}" name="Distance from promoter bin (kb)"/>
    <tableColumn id="8" xr3:uid="{37537765-C2E6-4A87-B6FE-FD70888D5950}" name="Enhancer overlap (mm9)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"/>
  <sheetViews>
    <sheetView workbookViewId="0">
      <pane ySplit="3" topLeftCell="A4" activePane="bottomLeft" state="frozen"/>
      <selection pane="bottomLeft" activeCell="B16" sqref="B16"/>
    </sheetView>
  </sheetViews>
  <sheetFormatPr defaultRowHeight="14.4" x14ac:dyDescent="0.3"/>
  <cols>
    <col min="1" max="1" width="60" customWidth="1"/>
    <col min="2" max="2" width="21" customWidth="1"/>
    <col min="3" max="3" width="10" customWidth="1"/>
    <col min="4" max="6" width="20" customWidth="1"/>
  </cols>
  <sheetData>
    <row r="1" spans="1:6" ht="28.05" customHeight="1" x14ac:dyDescent="0.3">
      <c r="A1" s="63" t="s">
        <v>0</v>
      </c>
      <c r="B1" s="61"/>
      <c r="C1" s="61"/>
      <c r="D1" s="61"/>
      <c r="E1" s="61"/>
      <c r="F1" s="61"/>
    </row>
    <row r="2" spans="1:6" ht="17.399999999999999" customHeight="1" x14ac:dyDescent="0.3">
      <c r="A2" s="62" t="s">
        <v>1</v>
      </c>
      <c r="B2" s="61"/>
      <c r="C2" s="61"/>
      <c r="D2" s="61"/>
      <c r="E2" s="61"/>
      <c r="F2" s="61"/>
    </row>
    <row r="3" spans="1:6" ht="22.05" customHeight="1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</row>
    <row r="4" spans="1:6" x14ac:dyDescent="0.3">
      <c r="A4" s="2" t="s">
        <v>8</v>
      </c>
      <c r="B4" s="2" t="s">
        <v>9</v>
      </c>
      <c r="C4" s="3" t="s">
        <v>10</v>
      </c>
      <c r="D4" s="4">
        <v>1.528170822670619</v>
      </c>
      <c r="E4" s="4">
        <v>0.5635627275923728</v>
      </c>
      <c r="F4" s="4">
        <v>0.2270504434318365</v>
      </c>
    </row>
    <row r="5" spans="1:6" x14ac:dyDescent="0.3">
      <c r="A5" s="2" t="s">
        <v>11</v>
      </c>
      <c r="B5" s="2" t="s">
        <v>11</v>
      </c>
      <c r="C5" s="3" t="s">
        <v>10</v>
      </c>
      <c r="D5" s="4">
        <v>0.67988515901721125</v>
      </c>
      <c r="E5" s="4">
        <v>0.30267725655371919</v>
      </c>
      <c r="F5" s="4">
        <v>0.1144345160921879</v>
      </c>
    </row>
    <row r="6" spans="1:6" x14ac:dyDescent="0.3">
      <c r="A6" s="2" t="s">
        <v>12</v>
      </c>
      <c r="B6" s="2" t="s">
        <v>12</v>
      </c>
      <c r="C6" s="3" t="s">
        <v>10</v>
      </c>
      <c r="D6" s="4">
        <v>0.60133244252630647</v>
      </c>
      <c r="E6" s="4">
        <v>0.3230194116003659</v>
      </c>
      <c r="F6" s="4">
        <v>7.9216215514661001E-2</v>
      </c>
    </row>
    <row r="7" spans="1:6" x14ac:dyDescent="0.3">
      <c r="A7" s="2" t="s">
        <v>13</v>
      </c>
      <c r="B7" s="2" t="s">
        <v>13</v>
      </c>
      <c r="C7" s="3" t="s">
        <v>10</v>
      </c>
      <c r="D7" s="4">
        <v>0.45121733559786492</v>
      </c>
      <c r="E7" s="4">
        <v>0.26770851901572118</v>
      </c>
      <c r="F7" s="4">
        <v>9.0027788890370802E-2</v>
      </c>
    </row>
    <row r="8" spans="1:6" x14ac:dyDescent="0.3">
      <c r="A8" s="2" t="s">
        <v>14</v>
      </c>
      <c r="B8" s="2" t="s">
        <v>14</v>
      </c>
      <c r="C8" s="3" t="s">
        <v>10</v>
      </c>
      <c r="D8" s="4">
        <v>0.38192035713489503</v>
      </c>
      <c r="E8" s="4">
        <v>8.4930017803010099E-2</v>
      </c>
      <c r="F8" s="4">
        <v>8.0758899450302096E-2</v>
      </c>
    </row>
    <row r="9" spans="1:6" x14ac:dyDescent="0.3">
      <c r="A9" s="2" t="s">
        <v>15</v>
      </c>
      <c r="B9" s="2" t="s">
        <v>15</v>
      </c>
      <c r="C9" s="3" t="s">
        <v>10</v>
      </c>
      <c r="D9" s="4">
        <v>0.28111632059602171</v>
      </c>
      <c r="E9" s="4">
        <v>9.5475840068915296E-2</v>
      </c>
      <c r="F9" s="4">
        <v>0</v>
      </c>
    </row>
    <row r="10" spans="1:6" x14ac:dyDescent="0.3">
      <c r="A10" s="2" t="s">
        <v>16</v>
      </c>
      <c r="B10" s="2" t="s">
        <v>16</v>
      </c>
      <c r="C10" s="3" t="s">
        <v>17</v>
      </c>
      <c r="D10" s="4">
        <v>0.34602543578268041</v>
      </c>
      <c r="E10" s="4">
        <v>0.22618323462954329</v>
      </c>
      <c r="F10" s="4">
        <v>0.13359176784304819</v>
      </c>
    </row>
    <row r="11" spans="1:6" x14ac:dyDescent="0.3">
      <c r="A11" s="2" t="s">
        <v>18</v>
      </c>
      <c r="B11" s="2" t="s">
        <v>18</v>
      </c>
      <c r="C11" s="3" t="s">
        <v>17</v>
      </c>
      <c r="D11" s="4">
        <v>0.20978903432577689</v>
      </c>
      <c r="E11" s="4">
        <v>0.17047674848652569</v>
      </c>
      <c r="F11" s="4">
        <v>7.0278210701469598E-2</v>
      </c>
    </row>
    <row r="12" spans="1:6" x14ac:dyDescent="0.3">
      <c r="A12" s="2" t="s">
        <v>19</v>
      </c>
      <c r="B12" s="2" t="s">
        <v>19</v>
      </c>
      <c r="C12" s="3" t="s">
        <v>17</v>
      </c>
      <c r="D12" s="4">
        <v>0.12140342634494861</v>
      </c>
      <c r="E12" s="4">
        <v>8.9102983623836202E-2</v>
      </c>
      <c r="F12" s="4">
        <v>7.6510658913980401E-2</v>
      </c>
    </row>
    <row r="13" spans="1:6" x14ac:dyDescent="0.3">
      <c r="A13" s="2" t="s">
        <v>20</v>
      </c>
      <c r="B13" s="2" t="s">
        <v>20</v>
      </c>
      <c r="C13" s="3" t="s">
        <v>17</v>
      </c>
      <c r="D13" s="4">
        <v>0.10594144525045909</v>
      </c>
      <c r="E13" s="4">
        <v>0.1446320859772407</v>
      </c>
      <c r="F13" s="4">
        <v>7.4950086720378895E-2</v>
      </c>
    </row>
    <row r="14" spans="1:6" x14ac:dyDescent="0.3">
      <c r="A14" s="2" t="s">
        <v>21</v>
      </c>
      <c r="B14" s="2" t="s">
        <v>21</v>
      </c>
      <c r="C14" s="3" t="s">
        <v>17</v>
      </c>
      <c r="D14" s="4">
        <v>9.9653377702339702E-2</v>
      </c>
      <c r="E14" s="4">
        <v>0.11658294353100709</v>
      </c>
      <c r="F14" s="4">
        <v>8.9324260188043805E-2</v>
      </c>
    </row>
    <row r="15" spans="1:6" x14ac:dyDescent="0.3">
      <c r="A15" s="2" t="s">
        <v>22</v>
      </c>
      <c r="B15" s="2" t="s">
        <v>22</v>
      </c>
      <c r="C15" s="3" t="s">
        <v>17</v>
      </c>
      <c r="D15" s="4">
        <v>8.1839331258441395E-2</v>
      </c>
      <c r="E15" s="4">
        <v>3.1640656696878898E-2</v>
      </c>
      <c r="F15" s="4">
        <v>0</v>
      </c>
    </row>
    <row r="16" spans="1:6" x14ac:dyDescent="0.3">
      <c r="A16" s="33" t="s">
        <v>23</v>
      </c>
      <c r="B16" s="33" t="s">
        <v>23</v>
      </c>
      <c r="C16" s="34" t="s">
        <v>17</v>
      </c>
      <c r="D16" s="35">
        <v>0</v>
      </c>
      <c r="E16" s="35">
        <v>0</v>
      </c>
      <c r="F16" s="35">
        <v>0</v>
      </c>
    </row>
    <row r="17" spans="1:6" ht="15.6" customHeight="1" x14ac:dyDescent="0.3">
      <c r="A17" s="5" t="s">
        <v>24</v>
      </c>
    </row>
    <row r="18" spans="1:6" ht="15.6" customHeight="1" x14ac:dyDescent="0.3">
      <c r="A18" s="60" t="s">
        <v>25</v>
      </c>
      <c r="B18" s="61"/>
      <c r="C18" s="61"/>
      <c r="D18" s="61"/>
      <c r="E18" s="61"/>
      <c r="F18" s="61"/>
    </row>
    <row r="19" spans="1:6" ht="20.399999999999999" customHeight="1" x14ac:dyDescent="0.3">
      <c r="A19" s="60" t="s">
        <v>26</v>
      </c>
      <c r="B19" s="61"/>
      <c r="C19" s="61"/>
      <c r="D19" s="61"/>
      <c r="E19" s="61"/>
      <c r="F19" s="61"/>
    </row>
    <row r="20" spans="1:6" ht="19.2" customHeight="1" x14ac:dyDescent="0.3">
      <c r="A20" s="60" t="s">
        <v>27</v>
      </c>
      <c r="B20" s="61"/>
      <c r="C20" s="61"/>
      <c r="D20" s="61"/>
      <c r="E20" s="61"/>
      <c r="F20" s="61"/>
    </row>
    <row r="21" spans="1:6" ht="19.2" customHeight="1" x14ac:dyDescent="0.3">
      <c r="A21" s="60" t="s">
        <v>28</v>
      </c>
      <c r="B21" s="61"/>
      <c r="C21" s="61"/>
      <c r="D21" s="61"/>
      <c r="E21" s="61"/>
      <c r="F21" s="61"/>
    </row>
    <row r="22" spans="1:6" ht="19.8" customHeight="1" x14ac:dyDescent="0.3">
      <c r="A22" s="60" t="s">
        <v>29</v>
      </c>
      <c r="B22" s="61"/>
      <c r="C22" s="61"/>
      <c r="D22" s="61"/>
      <c r="E22" s="61"/>
      <c r="F22" s="61"/>
    </row>
    <row r="23" spans="1:6" ht="19.2" customHeight="1" x14ac:dyDescent="0.3">
      <c r="A23" s="60" t="s">
        <v>30</v>
      </c>
      <c r="B23" s="61"/>
      <c r="C23" s="61"/>
      <c r="D23" s="61"/>
      <c r="E23" s="61"/>
      <c r="F23" s="61"/>
    </row>
    <row r="24" spans="1:6" ht="18" customHeight="1" x14ac:dyDescent="0.3">
      <c r="A24" s="60" t="s">
        <v>31</v>
      </c>
      <c r="B24" s="61"/>
      <c r="C24" s="61"/>
      <c r="D24" s="61"/>
      <c r="E24" s="61"/>
      <c r="F24" s="61"/>
    </row>
    <row r="25" spans="1:6" ht="28.05" customHeight="1" x14ac:dyDescent="0.3">
      <c r="A25" s="60" t="s">
        <v>32</v>
      </c>
      <c r="B25" s="61"/>
      <c r="C25" s="61"/>
      <c r="D25" s="61"/>
      <c r="E25" s="61"/>
      <c r="F25" s="61"/>
    </row>
  </sheetData>
  <mergeCells count="10">
    <mergeCell ref="A21:F21"/>
    <mergeCell ref="A2:F2"/>
    <mergeCell ref="A25:F25"/>
    <mergeCell ref="A1:F1"/>
    <mergeCell ref="A20:F20"/>
    <mergeCell ref="A24:F24"/>
    <mergeCell ref="A19:F19"/>
    <mergeCell ref="A23:F23"/>
    <mergeCell ref="A18:F18"/>
    <mergeCell ref="A22:F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2"/>
  <sheetViews>
    <sheetView tabSelected="1" workbookViewId="0">
      <pane ySplit="3" topLeftCell="A4" activePane="bottomLeft" state="frozen"/>
      <selection pane="bottomLeft" activeCell="A9" sqref="A9:K9"/>
    </sheetView>
  </sheetViews>
  <sheetFormatPr defaultRowHeight="14.4" x14ac:dyDescent="0.3"/>
  <cols>
    <col min="1" max="1" width="8" customWidth="1"/>
    <col min="2" max="3" width="12" customWidth="1"/>
    <col min="4" max="4" width="24" customWidth="1"/>
    <col min="5" max="6" width="10" customWidth="1"/>
    <col min="7" max="8" width="15" customWidth="1"/>
    <col min="9" max="11" width="14" customWidth="1"/>
  </cols>
  <sheetData>
    <row r="1" spans="1:11" ht="24" customHeight="1" x14ac:dyDescent="0.3">
      <c r="A1" s="65" t="s">
        <v>33</v>
      </c>
      <c r="B1" s="61"/>
      <c r="C1" s="61"/>
      <c r="D1" s="61"/>
      <c r="E1" s="61"/>
      <c r="F1" s="61"/>
      <c r="G1" s="61"/>
      <c r="H1" s="61"/>
      <c r="I1" s="61"/>
      <c r="J1" s="61"/>
      <c r="K1" s="61"/>
    </row>
    <row r="2" spans="1:11" ht="30" customHeight="1" x14ac:dyDescent="0.3">
      <c r="A2" s="64" t="s">
        <v>34</v>
      </c>
      <c r="B2" s="61"/>
      <c r="C2" s="61"/>
      <c r="D2" s="61"/>
      <c r="E2" s="61"/>
      <c r="F2" s="61"/>
      <c r="G2" s="61"/>
      <c r="H2" s="61"/>
      <c r="I2" s="61"/>
      <c r="J2" s="61"/>
      <c r="K2" s="61"/>
    </row>
    <row r="3" spans="1:11" ht="30" customHeight="1" x14ac:dyDescent="0.3">
      <c r="A3" s="6" t="s">
        <v>35</v>
      </c>
      <c r="B3" s="6" t="s">
        <v>36</v>
      </c>
      <c r="C3" s="6" t="s">
        <v>37</v>
      </c>
      <c r="D3" s="6" t="s">
        <v>38</v>
      </c>
      <c r="E3" s="6" t="s">
        <v>39</v>
      </c>
      <c r="F3" s="6" t="s">
        <v>40</v>
      </c>
      <c r="G3" s="6" t="s">
        <v>41</v>
      </c>
      <c r="H3" s="6" t="s">
        <v>42</v>
      </c>
      <c r="I3" s="6" t="s">
        <v>43</v>
      </c>
      <c r="J3" s="6" t="s">
        <v>44</v>
      </c>
      <c r="K3" s="6" t="s">
        <v>45</v>
      </c>
    </row>
    <row r="4" spans="1:11" x14ac:dyDescent="0.3">
      <c r="A4" s="7" t="s">
        <v>46</v>
      </c>
      <c r="B4" s="8">
        <v>14718760</v>
      </c>
      <c r="C4" s="8">
        <v>14724010</v>
      </c>
      <c r="D4" s="7" t="s">
        <v>19</v>
      </c>
      <c r="E4" s="7" t="s">
        <v>17</v>
      </c>
      <c r="F4" s="8">
        <v>5250</v>
      </c>
      <c r="G4" s="9">
        <v>1.472033968220793</v>
      </c>
      <c r="H4" s="9">
        <v>3.0286673224620588</v>
      </c>
      <c r="I4" s="8">
        <v>7</v>
      </c>
      <c r="J4" s="8">
        <v>13</v>
      </c>
      <c r="K4" s="9">
        <v>4.5007012906828523</v>
      </c>
    </row>
    <row r="5" spans="1:11" x14ac:dyDescent="0.3">
      <c r="A5" s="7" t="s">
        <v>46</v>
      </c>
      <c r="B5" s="8">
        <v>14840677</v>
      </c>
      <c r="C5" s="8">
        <v>14846134</v>
      </c>
      <c r="D5" s="7" t="s">
        <v>20</v>
      </c>
      <c r="E5" s="7" t="s">
        <v>17</v>
      </c>
      <c r="F5" s="8">
        <v>5457</v>
      </c>
      <c r="G5" s="9">
        <v>3.8862924501601142</v>
      </c>
      <c r="H5" s="9">
        <v>3.504569727483168</v>
      </c>
      <c r="I5" s="8">
        <v>18</v>
      </c>
      <c r="J5" s="8">
        <v>23</v>
      </c>
      <c r="K5" s="9">
        <v>7.3908621776432817</v>
      </c>
    </row>
    <row r="6" spans="1:11" x14ac:dyDescent="0.3">
      <c r="A6" s="7" t="s">
        <v>46</v>
      </c>
      <c r="B6" s="8">
        <v>15171260</v>
      </c>
      <c r="C6" s="8">
        <v>15176448</v>
      </c>
      <c r="D6" s="7" t="s">
        <v>21</v>
      </c>
      <c r="E6" s="7" t="s">
        <v>17</v>
      </c>
      <c r="F6" s="8">
        <v>5188</v>
      </c>
      <c r="G6" s="9">
        <v>3.351349522199651</v>
      </c>
      <c r="H6" s="9">
        <v>2.7934907726953409</v>
      </c>
      <c r="I6" s="8">
        <v>10</v>
      </c>
      <c r="J6" s="8">
        <v>10</v>
      </c>
      <c r="K6" s="9">
        <v>6.1448402948949923</v>
      </c>
    </row>
    <row r="7" spans="1:11" x14ac:dyDescent="0.3">
      <c r="A7" s="7" t="s">
        <v>46</v>
      </c>
      <c r="B7" s="8">
        <v>15221300</v>
      </c>
      <c r="C7" s="8">
        <v>15226920</v>
      </c>
      <c r="D7" s="7" t="s">
        <v>18</v>
      </c>
      <c r="E7" s="7" t="s">
        <v>17</v>
      </c>
      <c r="F7" s="8">
        <v>5620</v>
      </c>
      <c r="G7" s="9">
        <v>7.5232642251706876</v>
      </c>
      <c r="H7" s="9">
        <v>5.646770848165958</v>
      </c>
      <c r="I7" s="8">
        <v>65</v>
      </c>
      <c r="J7" s="8">
        <v>41</v>
      </c>
      <c r="K7" s="9">
        <v>13.170035073336649</v>
      </c>
    </row>
    <row r="8" spans="1:11" x14ac:dyDescent="0.3">
      <c r="A8" s="7" t="s">
        <v>46</v>
      </c>
      <c r="B8" s="8">
        <v>15433884</v>
      </c>
      <c r="C8" s="8">
        <v>15439151</v>
      </c>
      <c r="D8" s="7" t="s">
        <v>22</v>
      </c>
      <c r="E8" s="7" t="s">
        <v>17</v>
      </c>
      <c r="F8" s="8">
        <v>5267</v>
      </c>
      <c r="G8" s="9">
        <v>8.7336802034709282E-2</v>
      </c>
      <c r="H8" s="9">
        <v>0.15020758742432369</v>
      </c>
      <c r="I8" s="8">
        <v>5</v>
      </c>
      <c r="J8" s="8">
        <v>13</v>
      </c>
      <c r="K8" s="9">
        <v>0.237544389459033</v>
      </c>
    </row>
    <row r="9" spans="1:11" x14ac:dyDescent="0.3">
      <c r="A9" s="7" t="s">
        <v>46</v>
      </c>
      <c r="B9" s="8">
        <v>15434539</v>
      </c>
      <c r="C9" s="8">
        <v>15436055</v>
      </c>
      <c r="D9" s="7" t="s">
        <v>23</v>
      </c>
      <c r="E9" s="7" t="s">
        <v>17</v>
      </c>
      <c r="F9" s="8">
        <v>1516</v>
      </c>
      <c r="G9" s="9">
        <v>0</v>
      </c>
      <c r="H9" s="9">
        <v>0</v>
      </c>
      <c r="I9" s="8">
        <v>0</v>
      </c>
      <c r="J9" s="8">
        <v>0</v>
      </c>
      <c r="K9" s="9">
        <v>0</v>
      </c>
    </row>
    <row r="10" spans="1:11" x14ac:dyDescent="0.3">
      <c r="A10" s="7" t="s">
        <v>46</v>
      </c>
      <c r="B10" s="8">
        <v>15446547</v>
      </c>
      <c r="C10" s="8">
        <v>15451946</v>
      </c>
      <c r="D10" s="7" t="s">
        <v>16</v>
      </c>
      <c r="E10" s="7" t="s">
        <v>17</v>
      </c>
      <c r="F10" s="8">
        <v>5399</v>
      </c>
      <c r="G10" s="9">
        <v>10.16173946102295</v>
      </c>
      <c r="H10" s="9">
        <v>8.6234763360939741</v>
      </c>
      <c r="I10" s="8">
        <v>211</v>
      </c>
      <c r="J10" s="8">
        <v>301</v>
      </c>
      <c r="K10" s="9">
        <v>18.785215797116919</v>
      </c>
    </row>
    <row r="11" spans="1:11" x14ac:dyDescent="0.3">
      <c r="A11" s="7" t="s">
        <v>46</v>
      </c>
      <c r="B11" s="8">
        <v>15549343</v>
      </c>
      <c r="C11" s="8">
        <v>15550462</v>
      </c>
      <c r="D11" s="7" t="s">
        <v>9</v>
      </c>
      <c r="E11" s="7" t="s">
        <v>10</v>
      </c>
      <c r="F11" s="8">
        <v>1119</v>
      </c>
      <c r="G11" s="9">
        <v>43.063762142126791</v>
      </c>
      <c r="H11" s="9">
        <v>67.056756320227294</v>
      </c>
      <c r="I11" s="8">
        <v>75</v>
      </c>
      <c r="J11" s="8">
        <v>107</v>
      </c>
      <c r="K11" s="9">
        <v>110.1205184623541</v>
      </c>
    </row>
    <row r="12" spans="1:11" x14ac:dyDescent="0.3">
      <c r="A12" s="7" t="s">
        <v>46</v>
      </c>
      <c r="B12" s="8">
        <v>15561789</v>
      </c>
      <c r="C12" s="8">
        <v>15567045</v>
      </c>
      <c r="D12" s="7" t="s">
        <v>13</v>
      </c>
      <c r="E12" s="7" t="s">
        <v>10</v>
      </c>
      <c r="F12" s="8">
        <v>5256</v>
      </c>
      <c r="G12" s="9">
        <v>6.2442229819580879</v>
      </c>
      <c r="H12" s="9">
        <v>6.0708533137275102</v>
      </c>
      <c r="I12" s="8">
        <v>16</v>
      </c>
      <c r="J12" s="8">
        <v>16</v>
      </c>
      <c r="K12" s="9">
        <v>12.3150762956856</v>
      </c>
    </row>
    <row r="13" spans="1:11" x14ac:dyDescent="0.3">
      <c r="A13" s="7" t="s">
        <v>46</v>
      </c>
      <c r="B13" s="8">
        <v>15610488</v>
      </c>
      <c r="C13" s="8">
        <v>15611188</v>
      </c>
      <c r="D13" s="7" t="s">
        <v>12</v>
      </c>
      <c r="E13" s="7" t="s">
        <v>10</v>
      </c>
      <c r="F13" s="8">
        <v>700</v>
      </c>
      <c r="G13" s="9">
        <v>7.8586987291798964</v>
      </c>
      <c r="H13" s="9">
        <v>2.7628571428571429</v>
      </c>
      <c r="I13" s="8">
        <v>16</v>
      </c>
      <c r="J13" s="8">
        <v>8</v>
      </c>
      <c r="K13" s="9">
        <v>10.621555872037041</v>
      </c>
    </row>
    <row r="14" spans="1:11" x14ac:dyDescent="0.3">
      <c r="A14" s="7" t="s">
        <v>46</v>
      </c>
      <c r="B14" s="8">
        <v>15620962</v>
      </c>
      <c r="C14" s="8">
        <v>15621575</v>
      </c>
      <c r="D14" s="7" t="s">
        <v>11</v>
      </c>
      <c r="E14" s="7" t="s">
        <v>10</v>
      </c>
      <c r="F14" s="8">
        <v>613</v>
      </c>
      <c r="G14" s="9">
        <v>8.4045676998368677</v>
      </c>
      <c r="H14" s="9">
        <v>7.8172920065252853</v>
      </c>
      <c r="I14" s="8">
        <v>12</v>
      </c>
      <c r="J14" s="8">
        <v>16</v>
      </c>
      <c r="K14" s="9">
        <v>16.221859706362149</v>
      </c>
    </row>
    <row r="15" spans="1:11" x14ac:dyDescent="0.3">
      <c r="A15" s="7" t="s">
        <v>46</v>
      </c>
      <c r="B15" s="8">
        <v>15658220</v>
      </c>
      <c r="C15" s="8">
        <v>15658910</v>
      </c>
      <c r="D15" s="7" t="s">
        <v>14</v>
      </c>
      <c r="E15" s="7" t="s">
        <v>10</v>
      </c>
      <c r="F15" s="8">
        <v>690</v>
      </c>
      <c r="G15" s="9">
        <v>8.2627358194267035</v>
      </c>
      <c r="H15" s="9">
        <v>10.805797101449279</v>
      </c>
      <c r="I15" s="8">
        <v>18</v>
      </c>
      <c r="J15" s="8">
        <v>17</v>
      </c>
      <c r="K15" s="9">
        <v>19.068532920875981</v>
      </c>
    </row>
    <row r="16" spans="1:11" x14ac:dyDescent="0.3">
      <c r="A16" s="7" t="s">
        <v>46</v>
      </c>
      <c r="B16" s="8">
        <v>15706515</v>
      </c>
      <c r="C16" s="8">
        <v>15706940</v>
      </c>
      <c r="D16" s="7" t="s">
        <v>15</v>
      </c>
      <c r="E16" s="7" t="s">
        <v>10</v>
      </c>
      <c r="F16" s="8">
        <v>425</v>
      </c>
      <c r="G16" s="9">
        <v>5.6423529411764708</v>
      </c>
      <c r="H16" s="9">
        <v>6.92</v>
      </c>
      <c r="I16" s="8">
        <v>8</v>
      </c>
      <c r="J16" s="8">
        <v>13</v>
      </c>
      <c r="K16" s="9">
        <v>12.562352941176471</v>
      </c>
    </row>
    <row r="18" spans="1:11" ht="84.6" customHeight="1" x14ac:dyDescent="0.3">
      <c r="A18" s="66" t="s">
        <v>131</v>
      </c>
      <c r="B18" s="61"/>
      <c r="C18" s="61"/>
      <c r="D18" s="61"/>
      <c r="E18" s="61"/>
      <c r="F18" s="61"/>
      <c r="G18" s="61"/>
      <c r="H18" s="61"/>
      <c r="I18" s="61"/>
      <c r="J18" s="61"/>
      <c r="K18" s="61"/>
    </row>
    <row r="19" spans="1:11" hidden="1" x14ac:dyDescent="0.3">
      <c r="A19" s="61"/>
      <c r="B19" s="61"/>
      <c r="C19" s="61"/>
      <c r="D19" s="61"/>
      <c r="E19" s="61"/>
      <c r="F19" s="61"/>
      <c r="G19" s="61"/>
      <c r="H19" s="61"/>
      <c r="I19" s="61"/>
      <c r="J19" s="61"/>
      <c r="K19" s="61"/>
    </row>
    <row r="20" spans="1:11" hidden="1" x14ac:dyDescent="0.3">
      <c r="A20" s="61"/>
      <c r="B20" s="61"/>
      <c r="C20" s="61"/>
      <c r="D20" s="61"/>
      <c r="E20" s="61"/>
      <c r="F20" s="61"/>
      <c r="G20" s="61"/>
      <c r="H20" s="61"/>
      <c r="I20" s="61"/>
      <c r="J20" s="61"/>
      <c r="K20" s="61"/>
    </row>
    <row r="21" spans="1:11" hidden="1" x14ac:dyDescent="0.3">
      <c r="A21" s="61"/>
      <c r="B21" s="61"/>
      <c r="C21" s="61"/>
      <c r="D21" s="61"/>
      <c r="E21" s="61"/>
      <c r="F21" s="61"/>
      <c r="G21" s="61"/>
      <c r="H21" s="61"/>
      <c r="I21" s="61"/>
      <c r="J21" s="61"/>
      <c r="K21" s="61"/>
    </row>
    <row r="22" spans="1:11" hidden="1" x14ac:dyDescent="0.3">
      <c r="A22" s="61"/>
      <c r="B22" s="61"/>
      <c r="C22" s="61"/>
      <c r="D22" s="61"/>
      <c r="E22" s="61"/>
      <c r="F22" s="61"/>
      <c r="G22" s="61"/>
      <c r="H22" s="61"/>
      <c r="I22" s="61"/>
      <c r="J22" s="61"/>
      <c r="K22" s="61"/>
    </row>
  </sheetData>
  <mergeCells count="3">
    <mergeCell ref="A2:K2"/>
    <mergeCell ref="A1:K1"/>
    <mergeCell ref="A18:K22"/>
  </mergeCells>
  <pageMargins left="0.75" right="0.75" top="1" bottom="1" header="0.5" footer="0.5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H23"/>
  <sheetViews>
    <sheetView workbookViewId="0">
      <pane ySplit="3" topLeftCell="A4" activePane="bottomLeft" state="frozen"/>
      <selection pane="bottomLeft" activeCell="C26" sqref="C26"/>
    </sheetView>
  </sheetViews>
  <sheetFormatPr defaultRowHeight="14.4" x14ac:dyDescent="0.3"/>
  <cols>
    <col min="1" max="1" width="26" customWidth="1"/>
    <col min="2" max="2" width="11" customWidth="1"/>
    <col min="3" max="3" width="15.5546875" customWidth="1"/>
    <col min="4" max="5" width="12" customWidth="1"/>
    <col min="6" max="6" width="11" customWidth="1"/>
    <col min="7" max="7" width="14" customWidth="1"/>
    <col min="8" max="8" width="99.21875" customWidth="1"/>
  </cols>
  <sheetData>
    <row r="2" spans="1:8" ht="21" customHeight="1" x14ac:dyDescent="0.3">
      <c r="A2" s="69" t="s">
        <v>47</v>
      </c>
      <c r="B2" s="61"/>
      <c r="C2" s="61"/>
      <c r="D2" s="61"/>
      <c r="E2" s="61"/>
      <c r="F2" s="61"/>
      <c r="G2" s="61"/>
      <c r="H2" s="61"/>
    </row>
    <row r="3" spans="1:8" x14ac:dyDescent="0.3">
      <c r="A3" s="10" t="s">
        <v>48</v>
      </c>
      <c r="B3" s="10" t="s">
        <v>49</v>
      </c>
      <c r="C3" s="10" t="s">
        <v>50</v>
      </c>
      <c r="D3" s="10" t="s">
        <v>51</v>
      </c>
      <c r="E3" s="10" t="s">
        <v>52</v>
      </c>
      <c r="F3" s="10" t="s">
        <v>53</v>
      </c>
      <c r="G3" s="10" t="s">
        <v>54</v>
      </c>
      <c r="H3" s="10" t="s">
        <v>55</v>
      </c>
    </row>
    <row r="4" spans="1:8" x14ac:dyDescent="0.3">
      <c r="A4" s="11" t="s">
        <v>19</v>
      </c>
      <c r="B4" s="11" t="s">
        <v>17</v>
      </c>
      <c r="C4" s="11" t="s">
        <v>46</v>
      </c>
      <c r="D4" s="12">
        <v>14718760</v>
      </c>
      <c r="E4" s="12">
        <v>14724010</v>
      </c>
      <c r="F4" s="12">
        <v>5250</v>
      </c>
      <c r="G4" s="13">
        <v>14.721385</v>
      </c>
      <c r="H4" s="13">
        <v>-5.2343582157448002E-3</v>
      </c>
    </row>
    <row r="5" spans="1:8" x14ac:dyDescent="0.3">
      <c r="A5" s="11" t="s">
        <v>20</v>
      </c>
      <c r="B5" s="11" t="s">
        <v>17</v>
      </c>
      <c r="C5" s="11" t="s">
        <v>46</v>
      </c>
      <c r="D5" s="12">
        <v>14840677</v>
      </c>
      <c r="E5" s="12">
        <v>14846134</v>
      </c>
      <c r="F5" s="12">
        <v>5457</v>
      </c>
      <c r="G5" s="13">
        <v>14.843405499999999</v>
      </c>
      <c r="H5" s="13">
        <v>-1.34094156167106E-2</v>
      </c>
    </row>
    <row r="6" spans="1:8" x14ac:dyDescent="0.3">
      <c r="A6" s="11" t="s">
        <v>21</v>
      </c>
      <c r="B6" s="11" t="s">
        <v>17</v>
      </c>
      <c r="C6" s="11" t="s">
        <v>46</v>
      </c>
      <c r="D6" s="12">
        <v>15171260</v>
      </c>
      <c r="E6" s="12">
        <v>15176448</v>
      </c>
      <c r="F6" s="12">
        <v>5188</v>
      </c>
      <c r="G6" s="13">
        <v>15.173854</v>
      </c>
      <c r="H6" s="13">
        <v>-2.6628050778812998E-3</v>
      </c>
    </row>
    <row r="7" spans="1:8" x14ac:dyDescent="0.3">
      <c r="A7" s="11" t="s">
        <v>18</v>
      </c>
      <c r="B7" s="11" t="s">
        <v>17</v>
      </c>
      <c r="C7" s="11" t="s">
        <v>46</v>
      </c>
      <c r="D7" s="12">
        <v>15221300</v>
      </c>
      <c r="E7" s="12">
        <v>15226920</v>
      </c>
      <c r="F7" s="12">
        <v>5620</v>
      </c>
      <c r="G7" s="13">
        <v>15.22411</v>
      </c>
      <c r="H7" s="13">
        <v>-1.8636618945766601E-2</v>
      </c>
    </row>
    <row r="8" spans="1:8" x14ac:dyDescent="0.3">
      <c r="A8" s="11" t="s">
        <v>22</v>
      </c>
      <c r="B8" s="11" t="s">
        <v>17</v>
      </c>
      <c r="C8" s="11" t="s">
        <v>46</v>
      </c>
      <c r="D8" s="12">
        <v>15433884</v>
      </c>
      <c r="E8" s="12">
        <v>15439151</v>
      </c>
      <c r="F8" s="12">
        <v>5267</v>
      </c>
      <c r="G8" s="13">
        <v>15.436517500000001</v>
      </c>
      <c r="H8" s="13">
        <v>-7.1370286939883001E-3</v>
      </c>
    </row>
    <row r="9" spans="1:8" x14ac:dyDescent="0.3">
      <c r="A9" s="11" t="s">
        <v>23</v>
      </c>
      <c r="B9" s="11" t="s">
        <v>17</v>
      </c>
      <c r="C9" s="11" t="s">
        <v>46</v>
      </c>
      <c r="D9" s="12">
        <v>15434539</v>
      </c>
      <c r="E9" s="12">
        <v>15436055</v>
      </c>
      <c r="F9" s="12">
        <v>1516</v>
      </c>
      <c r="G9" s="13">
        <v>15.435297</v>
      </c>
      <c r="H9" s="13">
        <v>-1.5085889487455401E-2</v>
      </c>
    </row>
    <row r="10" spans="1:8" x14ac:dyDescent="0.3">
      <c r="A10" s="11" t="s">
        <v>16</v>
      </c>
      <c r="B10" s="11" t="s">
        <v>17</v>
      </c>
      <c r="C10" s="11" t="s">
        <v>46</v>
      </c>
      <c r="D10" s="12">
        <v>15446547</v>
      </c>
      <c r="E10" s="12">
        <v>15451946</v>
      </c>
      <c r="F10" s="12">
        <v>5399</v>
      </c>
      <c r="G10" s="13">
        <v>15.449246499999999</v>
      </c>
      <c r="H10" s="13">
        <v>-5.3856027883584998E-3</v>
      </c>
    </row>
    <row r="11" spans="1:8" x14ac:dyDescent="0.3">
      <c r="A11" s="11" t="s">
        <v>9</v>
      </c>
      <c r="B11" s="11" t="s">
        <v>10</v>
      </c>
      <c r="C11" s="11" t="s">
        <v>46</v>
      </c>
      <c r="D11" s="12">
        <v>15549343</v>
      </c>
      <c r="E11" s="12">
        <v>15550462</v>
      </c>
      <c r="F11" s="12">
        <v>1119</v>
      </c>
      <c r="G11" s="13">
        <v>15.5499025</v>
      </c>
      <c r="H11" s="13">
        <v>9.4545950909473306E-2</v>
      </c>
    </row>
    <row r="12" spans="1:8" x14ac:dyDescent="0.3">
      <c r="A12" s="11" t="s">
        <v>13</v>
      </c>
      <c r="B12" s="11" t="s">
        <v>10</v>
      </c>
      <c r="C12" s="11" t="s">
        <v>46</v>
      </c>
      <c r="D12" s="12">
        <v>15561789</v>
      </c>
      <c r="E12" s="12">
        <v>15567045</v>
      </c>
      <c r="F12" s="12">
        <v>5256</v>
      </c>
      <c r="G12" s="13">
        <v>15.564417000000001</v>
      </c>
      <c r="H12" s="13">
        <v>2.4130362313706001E-3</v>
      </c>
    </row>
    <row r="13" spans="1:8" x14ac:dyDescent="0.3">
      <c r="A13" s="11" t="s">
        <v>12</v>
      </c>
      <c r="B13" s="11" t="s">
        <v>10</v>
      </c>
      <c r="C13" s="11" t="s">
        <v>46</v>
      </c>
      <c r="D13" s="12">
        <v>15610488</v>
      </c>
      <c r="E13" s="12">
        <v>15611188</v>
      </c>
      <c r="F13" s="12">
        <v>700</v>
      </c>
      <c r="G13" s="13">
        <v>15.610837999999999</v>
      </c>
      <c r="H13" s="13">
        <v>2.8168899112705301E-2</v>
      </c>
    </row>
    <row r="14" spans="1:8" x14ac:dyDescent="0.3">
      <c r="A14" s="11" t="s">
        <v>11</v>
      </c>
      <c r="B14" s="11" t="s">
        <v>10</v>
      </c>
      <c r="C14" s="11" t="s">
        <v>46</v>
      </c>
      <c r="D14" s="12">
        <v>15620962</v>
      </c>
      <c r="E14" s="12">
        <v>15621575</v>
      </c>
      <c r="F14" s="12">
        <v>613</v>
      </c>
      <c r="G14" s="13">
        <v>15.621268499999999</v>
      </c>
      <c r="H14" s="13">
        <v>0.27747222086563578</v>
      </c>
    </row>
    <row r="15" spans="1:8" x14ac:dyDescent="0.3">
      <c r="A15" s="11" t="s">
        <v>14</v>
      </c>
      <c r="B15" s="11" t="s">
        <v>10</v>
      </c>
      <c r="C15" s="11" t="s">
        <v>46</v>
      </c>
      <c r="D15" s="12">
        <v>15658220</v>
      </c>
      <c r="E15" s="12">
        <v>15658910</v>
      </c>
      <c r="F15" s="12">
        <v>690</v>
      </c>
      <c r="G15" s="13">
        <v>15.658564999999999</v>
      </c>
      <c r="H15" s="13">
        <v>2.5396948668682199E-2</v>
      </c>
    </row>
    <row r="16" spans="1:8" x14ac:dyDescent="0.3">
      <c r="A16" s="14" t="s">
        <v>15</v>
      </c>
      <c r="B16" s="14" t="s">
        <v>10</v>
      </c>
      <c r="C16" s="14" t="s">
        <v>46</v>
      </c>
      <c r="D16" s="15">
        <v>15706515</v>
      </c>
      <c r="E16" s="15">
        <v>15706940</v>
      </c>
      <c r="F16" s="15">
        <v>425</v>
      </c>
      <c r="G16" s="16">
        <v>15.7067275</v>
      </c>
      <c r="H16" s="16">
        <v>-6.5993234953459004E-3</v>
      </c>
    </row>
    <row r="18" spans="1:8" ht="15.6" x14ac:dyDescent="0.3">
      <c r="A18" s="70" t="s">
        <v>56</v>
      </c>
      <c r="B18" s="71"/>
      <c r="C18" s="71"/>
      <c r="D18" s="71"/>
      <c r="E18" s="71"/>
      <c r="F18" s="71"/>
      <c r="G18" s="71"/>
      <c r="H18" s="71"/>
    </row>
    <row r="19" spans="1:8" x14ac:dyDescent="0.3">
      <c r="A19" s="68" t="s">
        <v>57</v>
      </c>
      <c r="B19" s="61"/>
      <c r="C19" s="61"/>
      <c r="D19" s="61"/>
      <c r="E19" s="61"/>
      <c r="F19" s="61"/>
      <c r="G19" s="61"/>
      <c r="H19" s="61"/>
    </row>
    <row r="20" spans="1:8" x14ac:dyDescent="0.3">
      <c r="A20" s="67" t="s">
        <v>130</v>
      </c>
      <c r="B20" s="61"/>
      <c r="C20" s="61"/>
      <c r="D20" s="61"/>
      <c r="E20" s="61"/>
      <c r="F20" s="61"/>
      <c r="G20" s="61"/>
      <c r="H20" s="61"/>
    </row>
    <row r="21" spans="1:8" x14ac:dyDescent="0.3">
      <c r="A21" s="68" t="s">
        <v>58</v>
      </c>
      <c r="B21" s="61"/>
      <c r="C21" s="61"/>
      <c r="D21" s="61"/>
      <c r="E21" s="61"/>
      <c r="F21" s="61"/>
      <c r="G21" s="61"/>
      <c r="H21" s="61"/>
    </row>
    <row r="22" spans="1:8" x14ac:dyDescent="0.3">
      <c r="A22" s="68" t="s">
        <v>59</v>
      </c>
      <c r="B22" s="61"/>
      <c r="C22" s="61"/>
      <c r="D22" s="61"/>
      <c r="E22" s="61"/>
      <c r="F22" s="61"/>
      <c r="G22" s="61"/>
      <c r="H22" s="61"/>
    </row>
    <row r="23" spans="1:8" x14ac:dyDescent="0.3">
      <c r="A23" s="68" t="s">
        <v>60</v>
      </c>
      <c r="B23" s="61"/>
      <c r="C23" s="61"/>
      <c r="D23" s="61"/>
      <c r="E23" s="61"/>
      <c r="F23" s="61"/>
      <c r="G23" s="61"/>
      <c r="H23" s="61"/>
    </row>
  </sheetData>
  <mergeCells count="7">
    <mergeCell ref="A20:H20"/>
    <mergeCell ref="A19:H19"/>
    <mergeCell ref="A23:H23"/>
    <mergeCell ref="A2:H2"/>
    <mergeCell ref="A18:H18"/>
    <mergeCell ref="A22:H22"/>
    <mergeCell ref="A21:H21"/>
  </mergeCells>
  <pageMargins left="0.75" right="0.75" top="1" bottom="1" header="0.5" footer="0.5"/>
  <pageSetup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55"/>
  <sheetViews>
    <sheetView zoomScaleNormal="100" workbookViewId="0">
      <selection activeCell="L28" sqref="L28"/>
    </sheetView>
  </sheetViews>
  <sheetFormatPr defaultRowHeight="14.4" x14ac:dyDescent="0.3"/>
  <cols>
    <col min="1" max="1" width="10" customWidth="1"/>
    <col min="2" max="3" width="15" customWidth="1"/>
    <col min="4" max="5" width="16" customWidth="1"/>
    <col min="6" max="6" width="20" customWidth="1"/>
    <col min="7" max="7" width="22" customWidth="1"/>
    <col min="8" max="8" width="28" customWidth="1"/>
  </cols>
  <sheetData>
    <row r="1" spans="1:8" ht="31.95" customHeight="1" x14ac:dyDescent="0.3">
      <c r="A1" s="75" t="s">
        <v>61</v>
      </c>
      <c r="B1" s="61"/>
      <c r="C1" s="61"/>
      <c r="D1" s="61"/>
      <c r="E1" s="61"/>
      <c r="F1" s="61"/>
      <c r="G1" s="61"/>
      <c r="H1" s="61"/>
    </row>
    <row r="2" spans="1:8" ht="18" customHeight="1" x14ac:dyDescent="0.3">
      <c r="A2" s="73" t="s">
        <v>62</v>
      </c>
      <c r="B2" s="61"/>
      <c r="C2" s="61"/>
      <c r="D2" s="61"/>
      <c r="E2" s="61"/>
      <c r="F2" s="61"/>
      <c r="G2" s="61"/>
      <c r="H2" s="61"/>
    </row>
    <row r="3" spans="1:8" x14ac:dyDescent="0.3">
      <c r="A3" s="73" t="s">
        <v>63</v>
      </c>
      <c r="B3" s="61"/>
      <c r="C3" s="74" t="s">
        <v>64</v>
      </c>
      <c r="D3" s="61"/>
      <c r="E3" s="61"/>
      <c r="F3" s="61"/>
      <c r="G3" s="61"/>
      <c r="H3" s="61"/>
    </row>
    <row r="4" spans="1:8" x14ac:dyDescent="0.3">
      <c r="A4" s="73" t="s">
        <v>65</v>
      </c>
      <c r="B4" s="61"/>
      <c r="C4" s="74" t="s">
        <v>66</v>
      </c>
      <c r="D4" s="61"/>
      <c r="E4" s="61"/>
      <c r="F4" s="61"/>
      <c r="G4" s="61"/>
      <c r="H4" s="61"/>
    </row>
    <row r="5" spans="1:8" x14ac:dyDescent="0.3">
      <c r="A5" s="73" t="s">
        <v>67</v>
      </c>
      <c r="B5" s="61"/>
      <c r="C5" s="74" t="s">
        <v>68</v>
      </c>
      <c r="D5" s="61"/>
      <c r="E5" s="61"/>
      <c r="F5" s="61"/>
      <c r="G5" s="61"/>
      <c r="H5" s="61"/>
    </row>
    <row r="6" spans="1:8" x14ac:dyDescent="0.3">
      <c r="A6" s="73" t="s">
        <v>69</v>
      </c>
      <c r="B6" s="61"/>
      <c r="C6" s="74" t="s">
        <v>70</v>
      </c>
      <c r="D6" s="61"/>
      <c r="E6" s="61"/>
      <c r="F6" s="61"/>
      <c r="G6" s="61"/>
      <c r="H6" s="61"/>
    </row>
    <row r="7" spans="1:8" x14ac:dyDescent="0.3">
      <c r="A7" s="73" t="s">
        <v>71</v>
      </c>
      <c r="B7" s="61"/>
      <c r="C7" s="74" t="s">
        <v>72</v>
      </c>
      <c r="D7" s="61"/>
      <c r="E7" s="61"/>
      <c r="F7" s="61"/>
      <c r="G7" s="61"/>
      <c r="H7" s="61"/>
    </row>
    <row r="8" spans="1:8" x14ac:dyDescent="0.3">
      <c r="A8" s="73" t="s">
        <v>73</v>
      </c>
      <c r="B8" s="61"/>
      <c r="C8" s="74" t="s">
        <v>74</v>
      </c>
      <c r="D8" s="61"/>
      <c r="E8" s="61"/>
      <c r="F8" s="61"/>
      <c r="G8" s="61"/>
      <c r="H8" s="61"/>
    </row>
    <row r="10" spans="1:8" ht="28.8" x14ac:dyDescent="0.3">
      <c r="A10" s="17" t="s">
        <v>75</v>
      </c>
      <c r="B10" s="17" t="s">
        <v>76</v>
      </c>
      <c r="C10" s="17" t="s">
        <v>77</v>
      </c>
      <c r="D10" s="17" t="s">
        <v>78</v>
      </c>
      <c r="E10" s="17" t="s">
        <v>79</v>
      </c>
      <c r="F10" s="17" t="s">
        <v>80</v>
      </c>
      <c r="G10" s="17" t="s">
        <v>81</v>
      </c>
      <c r="H10" s="17" t="s">
        <v>82</v>
      </c>
    </row>
    <row r="11" spans="1:8" x14ac:dyDescent="0.3">
      <c r="A11" s="18" t="s">
        <v>46</v>
      </c>
      <c r="B11" s="19">
        <v>14730000</v>
      </c>
      <c r="C11" s="19">
        <v>14740000</v>
      </c>
      <c r="D11" s="19">
        <v>14735000</v>
      </c>
      <c r="E11" s="20">
        <v>14.734999999999999</v>
      </c>
      <c r="F11" s="21">
        <v>0</v>
      </c>
      <c r="G11" s="22">
        <v>-820</v>
      </c>
      <c r="H11" s="23"/>
    </row>
    <row r="12" spans="1:8" x14ac:dyDescent="0.3">
      <c r="A12" s="18" t="s">
        <v>46</v>
      </c>
      <c r="B12" s="19">
        <v>14740000</v>
      </c>
      <c r="C12" s="19">
        <v>14750000</v>
      </c>
      <c r="D12" s="19">
        <v>14745000</v>
      </c>
      <c r="E12" s="20">
        <v>14.744999999999999</v>
      </c>
      <c r="F12" s="21">
        <v>2.0070082999999999</v>
      </c>
      <c r="G12" s="22">
        <v>-810</v>
      </c>
      <c r="H12" s="23"/>
    </row>
    <row r="13" spans="1:8" x14ac:dyDescent="0.3">
      <c r="A13" s="18" t="s">
        <v>46</v>
      </c>
      <c r="B13" s="19">
        <v>14750000</v>
      </c>
      <c r="C13" s="19">
        <v>14760000</v>
      </c>
      <c r="D13" s="19">
        <v>14755000</v>
      </c>
      <c r="E13" s="20">
        <v>14.755000000000001</v>
      </c>
      <c r="F13" s="21">
        <v>3.6866064000000001</v>
      </c>
      <c r="G13" s="22">
        <v>-800</v>
      </c>
      <c r="H13" s="23"/>
    </row>
    <row r="14" spans="1:8" x14ac:dyDescent="0.3">
      <c r="A14" s="18" t="s">
        <v>46</v>
      </c>
      <c r="B14" s="19">
        <v>14760000</v>
      </c>
      <c r="C14" s="19">
        <v>14770000</v>
      </c>
      <c r="D14" s="19">
        <v>14765000</v>
      </c>
      <c r="E14" s="20">
        <v>14.765000000000001</v>
      </c>
      <c r="F14" s="21">
        <v>5.1258980000000003</v>
      </c>
      <c r="G14" s="22">
        <v>-790</v>
      </c>
      <c r="H14" s="23"/>
    </row>
    <row r="15" spans="1:8" x14ac:dyDescent="0.3">
      <c r="A15" s="18" t="s">
        <v>46</v>
      </c>
      <c r="B15" s="19">
        <v>14770000</v>
      </c>
      <c r="C15" s="19">
        <v>14780000</v>
      </c>
      <c r="D15" s="19">
        <v>14775000</v>
      </c>
      <c r="E15" s="20">
        <v>14.775</v>
      </c>
      <c r="F15" s="21">
        <v>5.805237</v>
      </c>
      <c r="G15" s="22">
        <v>-780</v>
      </c>
      <c r="H15" s="23"/>
    </row>
    <row r="16" spans="1:8" x14ac:dyDescent="0.3">
      <c r="A16" s="18" t="s">
        <v>46</v>
      </c>
      <c r="B16" s="19">
        <v>14780000</v>
      </c>
      <c r="C16" s="19">
        <v>14790000</v>
      </c>
      <c r="D16" s="19">
        <v>14785000</v>
      </c>
      <c r="E16" s="20">
        <v>14.785</v>
      </c>
      <c r="F16" s="21">
        <v>1.7108359</v>
      </c>
      <c r="G16" s="22">
        <v>-770</v>
      </c>
      <c r="H16" s="23"/>
    </row>
    <row r="17" spans="1:8" x14ac:dyDescent="0.3">
      <c r="A17" s="18" t="s">
        <v>46</v>
      </c>
      <c r="B17" s="19">
        <v>14790000</v>
      </c>
      <c r="C17" s="19">
        <v>14800000</v>
      </c>
      <c r="D17" s="19">
        <v>14795000</v>
      </c>
      <c r="E17" s="20">
        <v>14.795</v>
      </c>
      <c r="F17" s="21">
        <v>3.3983971999999998</v>
      </c>
      <c r="G17" s="22">
        <v>-760</v>
      </c>
      <c r="H17" s="23"/>
    </row>
    <row r="18" spans="1:8" x14ac:dyDescent="0.3">
      <c r="A18" s="18" t="s">
        <v>46</v>
      </c>
      <c r="B18" s="19">
        <v>14800000</v>
      </c>
      <c r="C18" s="19">
        <v>14810000</v>
      </c>
      <c r="D18" s="19">
        <v>14805000</v>
      </c>
      <c r="E18" s="20">
        <v>14.805</v>
      </c>
      <c r="F18" s="21">
        <v>1.9026898999999999</v>
      </c>
      <c r="G18" s="22">
        <v>-750</v>
      </c>
      <c r="H18" s="23"/>
    </row>
    <row r="19" spans="1:8" x14ac:dyDescent="0.3">
      <c r="A19" s="18" t="s">
        <v>46</v>
      </c>
      <c r="B19" s="19">
        <v>14810000</v>
      </c>
      <c r="C19" s="19">
        <v>14820000</v>
      </c>
      <c r="D19" s="19">
        <v>14815000</v>
      </c>
      <c r="E19" s="20">
        <v>14.815</v>
      </c>
      <c r="F19" s="21">
        <v>0.90405089999999999</v>
      </c>
      <c r="G19" s="22">
        <v>-740</v>
      </c>
      <c r="H19" s="23" t="s">
        <v>19</v>
      </c>
    </row>
    <row r="20" spans="1:8" x14ac:dyDescent="0.3">
      <c r="A20" s="18" t="s">
        <v>46</v>
      </c>
      <c r="B20" s="19">
        <v>14820000</v>
      </c>
      <c r="C20" s="19">
        <v>14830000</v>
      </c>
      <c r="D20" s="19">
        <v>14825000</v>
      </c>
      <c r="E20" s="20">
        <v>14.824999999999999</v>
      </c>
      <c r="F20" s="21">
        <v>1.5585152</v>
      </c>
      <c r="G20" s="22">
        <v>-730</v>
      </c>
      <c r="H20" s="23"/>
    </row>
    <row r="21" spans="1:8" x14ac:dyDescent="0.3">
      <c r="A21" s="18" t="s">
        <v>46</v>
      </c>
      <c r="B21" s="19">
        <v>14830000</v>
      </c>
      <c r="C21" s="19">
        <v>14840000</v>
      </c>
      <c r="D21" s="19">
        <v>14835000</v>
      </c>
      <c r="E21" s="20">
        <v>14.835000000000001</v>
      </c>
      <c r="F21" s="21">
        <v>2.8345473000000001</v>
      </c>
      <c r="G21" s="22">
        <v>-720</v>
      </c>
      <c r="H21" s="23"/>
    </row>
    <row r="22" spans="1:8" x14ac:dyDescent="0.3">
      <c r="A22" s="18" t="s">
        <v>46</v>
      </c>
      <c r="B22" s="19">
        <v>14840000</v>
      </c>
      <c r="C22" s="19">
        <v>14850000</v>
      </c>
      <c r="D22" s="19">
        <v>14845000</v>
      </c>
      <c r="E22" s="20">
        <v>14.845000000000001</v>
      </c>
      <c r="F22" s="21">
        <v>2.3767564000000001</v>
      </c>
      <c r="G22" s="22">
        <v>-710</v>
      </c>
      <c r="H22" s="23"/>
    </row>
    <row r="23" spans="1:8" x14ac:dyDescent="0.3">
      <c r="A23" s="18" t="s">
        <v>46</v>
      </c>
      <c r="B23" s="19">
        <v>14850000</v>
      </c>
      <c r="C23" s="19">
        <v>14860000</v>
      </c>
      <c r="D23" s="19">
        <v>14855000</v>
      </c>
      <c r="E23" s="20">
        <v>14.855</v>
      </c>
      <c r="F23" s="21">
        <v>2.3143744000000002</v>
      </c>
      <c r="G23" s="22">
        <v>-700</v>
      </c>
      <c r="H23" s="23"/>
    </row>
    <row r="24" spans="1:8" x14ac:dyDescent="0.3">
      <c r="A24" s="18" t="s">
        <v>46</v>
      </c>
      <c r="B24" s="19">
        <v>14860000</v>
      </c>
      <c r="C24" s="19">
        <v>14870000</v>
      </c>
      <c r="D24" s="19">
        <v>14865000</v>
      </c>
      <c r="E24" s="20">
        <v>14.865</v>
      </c>
      <c r="F24" s="21">
        <v>2.3485879999999999</v>
      </c>
      <c r="G24" s="22">
        <v>-690</v>
      </c>
      <c r="H24" s="23"/>
    </row>
    <row r="25" spans="1:8" x14ac:dyDescent="0.3">
      <c r="A25" s="18" t="s">
        <v>46</v>
      </c>
      <c r="B25" s="19">
        <v>14870000</v>
      </c>
      <c r="C25" s="19">
        <v>14880000</v>
      </c>
      <c r="D25" s="19">
        <v>14875000</v>
      </c>
      <c r="E25" s="20">
        <v>14.875</v>
      </c>
      <c r="F25" s="21">
        <v>4.8853334999999998</v>
      </c>
      <c r="G25" s="22">
        <v>-680</v>
      </c>
      <c r="H25" s="23"/>
    </row>
    <row r="26" spans="1:8" x14ac:dyDescent="0.3">
      <c r="A26" s="18" t="s">
        <v>46</v>
      </c>
      <c r="B26" s="19">
        <v>14880000</v>
      </c>
      <c r="C26" s="19">
        <v>14890000</v>
      </c>
      <c r="D26" s="19">
        <v>14885000</v>
      </c>
      <c r="E26" s="20">
        <v>14.885</v>
      </c>
      <c r="F26" s="21">
        <v>2.4445252000000002</v>
      </c>
      <c r="G26" s="22">
        <v>-670</v>
      </c>
      <c r="H26" s="23"/>
    </row>
    <row r="27" spans="1:8" x14ac:dyDescent="0.3">
      <c r="A27" s="18" t="s">
        <v>46</v>
      </c>
      <c r="B27" s="19">
        <v>14890000</v>
      </c>
      <c r="C27" s="19">
        <v>14900000</v>
      </c>
      <c r="D27" s="19">
        <v>14895000</v>
      </c>
      <c r="E27" s="20">
        <v>14.895</v>
      </c>
      <c r="F27" s="21">
        <v>1.8897781</v>
      </c>
      <c r="G27" s="22">
        <v>-660</v>
      </c>
      <c r="H27" s="23"/>
    </row>
    <row r="28" spans="1:8" x14ac:dyDescent="0.3">
      <c r="A28" s="18" t="s">
        <v>46</v>
      </c>
      <c r="B28" s="19">
        <v>14900000</v>
      </c>
      <c r="C28" s="19">
        <v>14910000</v>
      </c>
      <c r="D28" s="19">
        <v>14905000</v>
      </c>
      <c r="E28" s="20">
        <v>14.904999999999999</v>
      </c>
      <c r="F28" s="21">
        <v>3.8432689999999998</v>
      </c>
      <c r="G28" s="22">
        <v>-650</v>
      </c>
      <c r="H28" s="23"/>
    </row>
    <row r="29" spans="1:8" x14ac:dyDescent="0.3">
      <c r="A29" s="18" t="s">
        <v>46</v>
      </c>
      <c r="B29" s="19">
        <v>14910000</v>
      </c>
      <c r="C29" s="19">
        <v>14920000</v>
      </c>
      <c r="D29" s="19">
        <v>14915000</v>
      </c>
      <c r="E29" s="20">
        <v>14.914999999999999</v>
      </c>
      <c r="F29" s="21">
        <v>2.8981283000000002</v>
      </c>
      <c r="G29" s="22">
        <v>-640</v>
      </c>
      <c r="H29" s="23"/>
    </row>
    <row r="30" spans="1:8" x14ac:dyDescent="0.3">
      <c r="A30" s="18" t="s">
        <v>46</v>
      </c>
      <c r="B30" s="19">
        <v>14920000</v>
      </c>
      <c r="C30" s="19">
        <v>14930000</v>
      </c>
      <c r="D30" s="19">
        <v>14925000</v>
      </c>
      <c r="E30" s="20">
        <v>14.925000000000001</v>
      </c>
      <c r="F30" s="21">
        <v>1.2002622000000001</v>
      </c>
      <c r="G30" s="22">
        <v>-630</v>
      </c>
      <c r="H30" s="23"/>
    </row>
    <row r="31" spans="1:8" x14ac:dyDescent="0.3">
      <c r="A31" s="18" t="s">
        <v>46</v>
      </c>
      <c r="B31" s="19">
        <v>14930000</v>
      </c>
      <c r="C31" s="19">
        <v>14940000</v>
      </c>
      <c r="D31" s="19">
        <v>14935000</v>
      </c>
      <c r="E31" s="20">
        <v>14.935</v>
      </c>
      <c r="F31" s="21">
        <v>0</v>
      </c>
      <c r="G31" s="22">
        <v>-620</v>
      </c>
      <c r="H31" s="23" t="s">
        <v>20</v>
      </c>
    </row>
    <row r="32" spans="1:8" x14ac:dyDescent="0.3">
      <c r="A32" s="18" t="s">
        <v>46</v>
      </c>
      <c r="B32" s="19">
        <v>14940000</v>
      </c>
      <c r="C32" s="19">
        <v>14950000</v>
      </c>
      <c r="D32" s="19">
        <v>14945000</v>
      </c>
      <c r="E32" s="20">
        <v>14.945</v>
      </c>
      <c r="F32" s="21">
        <v>0</v>
      </c>
      <c r="G32" s="22">
        <v>-610</v>
      </c>
      <c r="H32" s="23"/>
    </row>
    <row r="33" spans="1:8" x14ac:dyDescent="0.3">
      <c r="A33" s="18" t="s">
        <v>46</v>
      </c>
      <c r="B33" s="19">
        <v>14950000</v>
      </c>
      <c r="C33" s="19">
        <v>14960000</v>
      </c>
      <c r="D33" s="19">
        <v>14955000</v>
      </c>
      <c r="E33" s="20">
        <v>14.955</v>
      </c>
      <c r="F33" s="21">
        <v>1.3652309</v>
      </c>
      <c r="G33" s="22">
        <v>-600</v>
      </c>
      <c r="H33" s="23"/>
    </row>
    <row r="34" spans="1:8" x14ac:dyDescent="0.3">
      <c r="A34" s="18" t="s">
        <v>46</v>
      </c>
      <c r="B34" s="19">
        <v>14960000</v>
      </c>
      <c r="C34" s="19">
        <v>14970000</v>
      </c>
      <c r="D34" s="19">
        <v>14965000</v>
      </c>
      <c r="E34" s="20">
        <v>14.965</v>
      </c>
      <c r="F34" s="21">
        <v>1.0002115</v>
      </c>
      <c r="G34" s="22">
        <v>-590</v>
      </c>
      <c r="H34" s="23"/>
    </row>
    <row r="35" spans="1:8" x14ac:dyDescent="0.3">
      <c r="A35" s="18" t="s">
        <v>46</v>
      </c>
      <c r="B35" s="19">
        <v>14970000</v>
      </c>
      <c r="C35" s="19">
        <v>14980000</v>
      </c>
      <c r="D35" s="19">
        <v>14975000</v>
      </c>
      <c r="E35" s="20">
        <v>14.975</v>
      </c>
      <c r="F35" s="21">
        <v>3.8086495</v>
      </c>
      <c r="G35" s="22">
        <v>-580</v>
      </c>
      <c r="H35" s="23"/>
    </row>
    <row r="36" spans="1:8" x14ac:dyDescent="0.3">
      <c r="A36" s="18" t="s">
        <v>46</v>
      </c>
      <c r="B36" s="19">
        <v>14980000</v>
      </c>
      <c r="C36" s="19">
        <v>14990000</v>
      </c>
      <c r="D36" s="19">
        <v>14985000</v>
      </c>
      <c r="E36" s="20">
        <v>14.984999999999999</v>
      </c>
      <c r="F36" s="21">
        <v>2.3645675000000002</v>
      </c>
      <c r="G36" s="22">
        <v>-570</v>
      </c>
      <c r="H36" s="23"/>
    </row>
    <row r="37" spans="1:8" x14ac:dyDescent="0.3">
      <c r="A37" s="18" t="s">
        <v>46</v>
      </c>
      <c r="B37" s="19">
        <v>14990000</v>
      </c>
      <c r="C37" s="19">
        <v>15000000</v>
      </c>
      <c r="D37" s="19">
        <v>14995000</v>
      </c>
      <c r="E37" s="20">
        <v>14.994999999999999</v>
      </c>
      <c r="F37" s="21">
        <v>2.7429366000000002</v>
      </c>
      <c r="G37" s="22">
        <v>-560</v>
      </c>
      <c r="H37" s="23"/>
    </row>
    <row r="38" spans="1:8" x14ac:dyDescent="0.3">
      <c r="A38" s="18" t="s">
        <v>46</v>
      </c>
      <c r="B38" s="19">
        <v>15000000</v>
      </c>
      <c r="C38" s="19">
        <v>15010000</v>
      </c>
      <c r="D38" s="19">
        <v>15005000</v>
      </c>
      <c r="E38" s="20">
        <v>15.005000000000001</v>
      </c>
      <c r="F38" s="21">
        <v>0.50783480000000003</v>
      </c>
      <c r="G38" s="22">
        <v>-550</v>
      </c>
      <c r="H38" s="23"/>
    </row>
    <row r="39" spans="1:8" x14ac:dyDescent="0.3">
      <c r="A39" s="18" t="s">
        <v>46</v>
      </c>
      <c r="B39" s="19">
        <v>15010000</v>
      </c>
      <c r="C39" s="19">
        <v>15020000</v>
      </c>
      <c r="D39" s="19">
        <v>15015000</v>
      </c>
      <c r="E39" s="20">
        <v>15.015000000000001</v>
      </c>
      <c r="F39" s="21">
        <v>1.2442439999999999</v>
      </c>
      <c r="G39" s="22">
        <v>-540</v>
      </c>
      <c r="H39" s="23"/>
    </row>
    <row r="40" spans="1:8" x14ac:dyDescent="0.3">
      <c r="A40" s="18" t="s">
        <v>46</v>
      </c>
      <c r="B40" s="19">
        <v>15020000</v>
      </c>
      <c r="C40" s="19">
        <v>15030000</v>
      </c>
      <c r="D40" s="19">
        <v>15025000</v>
      </c>
      <c r="E40" s="20">
        <v>15.025</v>
      </c>
      <c r="F40" s="21">
        <v>2.2417357</v>
      </c>
      <c r="G40" s="22">
        <v>-530</v>
      </c>
      <c r="H40" s="23"/>
    </row>
    <row r="41" spans="1:8" x14ac:dyDescent="0.3">
      <c r="A41" s="18" t="s">
        <v>46</v>
      </c>
      <c r="B41" s="19">
        <v>15030000</v>
      </c>
      <c r="C41" s="19">
        <v>15040000</v>
      </c>
      <c r="D41" s="19">
        <v>15035000</v>
      </c>
      <c r="E41" s="20">
        <v>15.035</v>
      </c>
      <c r="F41" s="21">
        <v>0.45543455999999999</v>
      </c>
      <c r="G41" s="22">
        <v>-520</v>
      </c>
      <c r="H41" s="23"/>
    </row>
    <row r="42" spans="1:8" x14ac:dyDescent="0.3">
      <c r="A42" s="18" t="s">
        <v>46</v>
      </c>
      <c r="B42" s="19">
        <v>15040000</v>
      </c>
      <c r="C42" s="19">
        <v>15050000</v>
      </c>
      <c r="D42" s="19">
        <v>15045000</v>
      </c>
      <c r="E42" s="20">
        <v>15.045</v>
      </c>
      <c r="F42" s="21">
        <v>1.8926552999999999</v>
      </c>
      <c r="G42" s="22">
        <v>-510</v>
      </c>
      <c r="H42" s="23"/>
    </row>
    <row r="43" spans="1:8" x14ac:dyDescent="0.3">
      <c r="A43" s="18" t="s">
        <v>46</v>
      </c>
      <c r="B43" s="19">
        <v>15050000</v>
      </c>
      <c r="C43" s="19">
        <v>15060000</v>
      </c>
      <c r="D43" s="19">
        <v>15055000</v>
      </c>
      <c r="E43" s="20">
        <v>15.055</v>
      </c>
      <c r="F43" s="21">
        <v>0.83620656000000004</v>
      </c>
      <c r="G43" s="22">
        <v>-500</v>
      </c>
      <c r="H43" s="23"/>
    </row>
    <row r="44" spans="1:8" x14ac:dyDescent="0.3">
      <c r="A44" s="18" t="s">
        <v>46</v>
      </c>
      <c r="B44" s="19">
        <v>15060000</v>
      </c>
      <c r="C44" s="19">
        <v>15070000</v>
      </c>
      <c r="D44" s="19">
        <v>15065000</v>
      </c>
      <c r="E44" s="20">
        <v>15.065</v>
      </c>
      <c r="F44" s="21">
        <v>1.2743967</v>
      </c>
      <c r="G44" s="22">
        <v>-490</v>
      </c>
      <c r="H44" s="23"/>
    </row>
    <row r="45" spans="1:8" x14ac:dyDescent="0.3">
      <c r="A45" s="18" t="s">
        <v>46</v>
      </c>
      <c r="B45" s="19">
        <v>15070000</v>
      </c>
      <c r="C45" s="19">
        <v>15080000</v>
      </c>
      <c r="D45" s="19">
        <v>15075000</v>
      </c>
      <c r="E45" s="20">
        <v>15.074999999999999</v>
      </c>
      <c r="F45" s="21">
        <v>2.1823600000000001</v>
      </c>
      <c r="G45" s="22">
        <v>-480</v>
      </c>
      <c r="H45" s="23"/>
    </row>
    <row r="46" spans="1:8" x14ac:dyDescent="0.3">
      <c r="A46" s="18" t="s">
        <v>46</v>
      </c>
      <c r="B46" s="19">
        <v>15080000</v>
      </c>
      <c r="C46" s="19">
        <v>15090000</v>
      </c>
      <c r="D46" s="19">
        <v>15085000</v>
      </c>
      <c r="E46" s="20">
        <v>15.085000000000001</v>
      </c>
      <c r="F46" s="21">
        <v>2.0718348</v>
      </c>
      <c r="G46" s="22">
        <v>-470</v>
      </c>
      <c r="H46" s="23"/>
    </row>
    <row r="47" spans="1:8" x14ac:dyDescent="0.3">
      <c r="A47" s="18" t="s">
        <v>46</v>
      </c>
      <c r="B47" s="19">
        <v>15090000</v>
      </c>
      <c r="C47" s="19">
        <v>15100000</v>
      </c>
      <c r="D47" s="19">
        <v>15095000</v>
      </c>
      <c r="E47" s="20">
        <v>15.095000000000001</v>
      </c>
      <c r="F47" s="21">
        <v>1.5453285999999999</v>
      </c>
      <c r="G47" s="22">
        <v>-460</v>
      </c>
      <c r="H47" s="23"/>
    </row>
    <row r="48" spans="1:8" x14ac:dyDescent="0.3">
      <c r="A48" s="18" t="s">
        <v>46</v>
      </c>
      <c r="B48" s="19">
        <v>15100000</v>
      </c>
      <c r="C48" s="19">
        <v>15110000</v>
      </c>
      <c r="D48" s="19">
        <v>15105000</v>
      </c>
      <c r="E48" s="20">
        <v>15.105</v>
      </c>
      <c r="F48" s="21">
        <v>1.3980147999999999</v>
      </c>
      <c r="G48" s="22">
        <v>-450</v>
      </c>
      <c r="H48" s="23"/>
    </row>
    <row r="49" spans="1:8" x14ac:dyDescent="0.3">
      <c r="A49" s="18" t="s">
        <v>46</v>
      </c>
      <c r="B49" s="19">
        <v>15110000</v>
      </c>
      <c r="C49" s="19">
        <v>15120000</v>
      </c>
      <c r="D49" s="19">
        <v>15115000</v>
      </c>
      <c r="E49" s="20">
        <v>15.115</v>
      </c>
      <c r="F49" s="21">
        <v>4.0292130000000004</v>
      </c>
      <c r="G49" s="22">
        <v>-440</v>
      </c>
      <c r="H49" s="23"/>
    </row>
    <row r="50" spans="1:8" x14ac:dyDescent="0.3">
      <c r="A50" s="18" t="s">
        <v>46</v>
      </c>
      <c r="B50" s="19">
        <v>15120000</v>
      </c>
      <c r="C50" s="19">
        <v>15130000</v>
      </c>
      <c r="D50" s="19">
        <v>15125000</v>
      </c>
      <c r="E50" s="20">
        <v>15.125</v>
      </c>
      <c r="F50" s="21">
        <v>0.77743799999999996</v>
      </c>
      <c r="G50" s="22">
        <v>-430</v>
      </c>
      <c r="H50" s="23"/>
    </row>
    <row r="51" spans="1:8" x14ac:dyDescent="0.3">
      <c r="A51" s="18" t="s">
        <v>46</v>
      </c>
      <c r="B51" s="19">
        <v>15130000</v>
      </c>
      <c r="C51" s="19">
        <v>15140000</v>
      </c>
      <c r="D51" s="19">
        <v>15135000</v>
      </c>
      <c r="E51" s="20">
        <v>15.135</v>
      </c>
      <c r="F51" s="21">
        <v>0.6908879</v>
      </c>
      <c r="G51" s="22">
        <v>-420</v>
      </c>
      <c r="H51" s="23"/>
    </row>
    <row r="52" spans="1:8" x14ac:dyDescent="0.3">
      <c r="A52" s="18" t="s">
        <v>46</v>
      </c>
      <c r="B52" s="19">
        <v>15140000</v>
      </c>
      <c r="C52" s="19">
        <v>15150000</v>
      </c>
      <c r="D52" s="19">
        <v>15145000</v>
      </c>
      <c r="E52" s="20">
        <v>15.145</v>
      </c>
      <c r="F52" s="21">
        <v>4.2082486000000001</v>
      </c>
      <c r="G52" s="22">
        <v>-410</v>
      </c>
      <c r="H52" s="23"/>
    </row>
    <row r="53" spans="1:8" x14ac:dyDescent="0.3">
      <c r="A53" s="18" t="s">
        <v>46</v>
      </c>
      <c r="B53" s="19">
        <v>15150000</v>
      </c>
      <c r="C53" s="19">
        <v>15160000</v>
      </c>
      <c r="D53" s="19">
        <v>15155000</v>
      </c>
      <c r="E53" s="20">
        <v>15.154999999999999</v>
      </c>
      <c r="F53" s="21">
        <v>3.2218551999999998</v>
      </c>
      <c r="G53" s="22">
        <v>-400</v>
      </c>
      <c r="H53" s="23"/>
    </row>
    <row r="54" spans="1:8" x14ac:dyDescent="0.3">
      <c r="A54" s="18" t="s">
        <v>46</v>
      </c>
      <c r="B54" s="19">
        <v>15160000</v>
      </c>
      <c r="C54" s="19">
        <v>15170000</v>
      </c>
      <c r="D54" s="19">
        <v>15165000</v>
      </c>
      <c r="E54" s="20">
        <v>15.164999999999999</v>
      </c>
      <c r="F54" s="21">
        <v>1.6501564</v>
      </c>
      <c r="G54" s="22">
        <v>-390</v>
      </c>
      <c r="H54" s="23"/>
    </row>
    <row r="55" spans="1:8" x14ac:dyDescent="0.3">
      <c r="A55" s="18" t="s">
        <v>46</v>
      </c>
      <c r="B55" s="19">
        <v>15170000</v>
      </c>
      <c r="C55" s="19">
        <v>15180000</v>
      </c>
      <c r="D55" s="19">
        <v>15175000</v>
      </c>
      <c r="E55" s="20">
        <v>15.175000000000001</v>
      </c>
      <c r="F55" s="21">
        <v>4.0584129999999998</v>
      </c>
      <c r="G55" s="22">
        <v>-380</v>
      </c>
      <c r="H55" s="23"/>
    </row>
    <row r="56" spans="1:8" x14ac:dyDescent="0.3">
      <c r="A56" s="18" t="s">
        <v>46</v>
      </c>
      <c r="B56" s="19">
        <v>15180000</v>
      </c>
      <c r="C56" s="19">
        <v>15190000</v>
      </c>
      <c r="D56" s="19">
        <v>15185000</v>
      </c>
      <c r="E56" s="20">
        <v>15.185</v>
      </c>
      <c r="F56" s="21">
        <v>2.4464950000000001</v>
      </c>
      <c r="G56" s="22">
        <v>-370</v>
      </c>
      <c r="H56" s="23"/>
    </row>
    <row r="57" spans="1:8" x14ac:dyDescent="0.3">
      <c r="A57" s="18" t="s">
        <v>46</v>
      </c>
      <c r="B57" s="19">
        <v>15190000</v>
      </c>
      <c r="C57" s="19">
        <v>15200000</v>
      </c>
      <c r="D57" s="19">
        <v>15195000</v>
      </c>
      <c r="E57" s="20">
        <v>15.195</v>
      </c>
      <c r="F57" s="21">
        <v>0.93575030000000003</v>
      </c>
      <c r="G57" s="22">
        <v>-360</v>
      </c>
      <c r="H57" s="23"/>
    </row>
    <row r="58" spans="1:8" x14ac:dyDescent="0.3">
      <c r="A58" s="18" t="s">
        <v>46</v>
      </c>
      <c r="B58" s="19">
        <v>15200000</v>
      </c>
      <c r="C58" s="19">
        <v>15210000</v>
      </c>
      <c r="D58" s="19">
        <v>15205000</v>
      </c>
      <c r="E58" s="20">
        <v>15.205</v>
      </c>
      <c r="F58" s="21">
        <v>2.1590402000000002</v>
      </c>
      <c r="G58" s="22">
        <v>-350</v>
      </c>
      <c r="H58" s="23"/>
    </row>
    <row r="59" spans="1:8" x14ac:dyDescent="0.3">
      <c r="A59" s="18" t="s">
        <v>46</v>
      </c>
      <c r="B59" s="19">
        <v>15210000</v>
      </c>
      <c r="C59" s="19">
        <v>15220000</v>
      </c>
      <c r="D59" s="19">
        <v>15215000</v>
      </c>
      <c r="E59" s="20">
        <v>15.215</v>
      </c>
      <c r="F59" s="21">
        <v>0.85738420000000004</v>
      </c>
      <c r="G59" s="22">
        <v>-340</v>
      </c>
      <c r="H59" s="23"/>
    </row>
    <row r="60" spans="1:8" x14ac:dyDescent="0.3">
      <c r="A60" s="18" t="s">
        <v>46</v>
      </c>
      <c r="B60" s="19">
        <v>15220000</v>
      </c>
      <c r="C60" s="19">
        <v>15230000</v>
      </c>
      <c r="D60" s="19">
        <v>15225000</v>
      </c>
      <c r="E60" s="20">
        <v>15.225</v>
      </c>
      <c r="F60" s="21">
        <v>1.8026546000000001</v>
      </c>
      <c r="G60" s="22">
        <v>-330</v>
      </c>
      <c r="H60" s="23"/>
    </row>
    <row r="61" spans="1:8" x14ac:dyDescent="0.3">
      <c r="A61" s="18" t="s">
        <v>46</v>
      </c>
      <c r="B61" s="19">
        <v>15230000</v>
      </c>
      <c r="C61" s="19">
        <v>15240000</v>
      </c>
      <c r="D61" s="19">
        <v>15235000</v>
      </c>
      <c r="E61" s="20">
        <v>15.234999999999999</v>
      </c>
      <c r="F61" s="21">
        <v>1.8386127000000001</v>
      </c>
      <c r="G61" s="22">
        <v>-320</v>
      </c>
      <c r="H61" s="23"/>
    </row>
    <row r="62" spans="1:8" x14ac:dyDescent="0.3">
      <c r="A62" s="18" t="s">
        <v>46</v>
      </c>
      <c r="B62" s="19">
        <v>15240000</v>
      </c>
      <c r="C62" s="19">
        <v>15250000</v>
      </c>
      <c r="D62" s="19">
        <v>15245000</v>
      </c>
      <c r="E62" s="20">
        <v>15.244999999999999</v>
      </c>
      <c r="F62" s="21">
        <v>2.0602021000000001</v>
      </c>
      <c r="G62" s="22">
        <v>-310</v>
      </c>
      <c r="H62" s="23"/>
    </row>
    <row r="63" spans="1:8" x14ac:dyDescent="0.3">
      <c r="A63" s="18" t="s">
        <v>46</v>
      </c>
      <c r="B63" s="19">
        <v>15250000</v>
      </c>
      <c r="C63" s="19">
        <v>15260000</v>
      </c>
      <c r="D63" s="19">
        <v>15255000</v>
      </c>
      <c r="E63" s="20">
        <v>15.255000000000001</v>
      </c>
      <c r="F63" s="21">
        <v>3.1629423999999999</v>
      </c>
      <c r="G63" s="22">
        <v>-300</v>
      </c>
      <c r="H63" s="23"/>
    </row>
    <row r="64" spans="1:8" x14ac:dyDescent="0.3">
      <c r="A64" s="18" t="s">
        <v>46</v>
      </c>
      <c r="B64" s="19">
        <v>15260000</v>
      </c>
      <c r="C64" s="19">
        <v>15270000</v>
      </c>
      <c r="D64" s="19">
        <v>15265000</v>
      </c>
      <c r="E64" s="20">
        <v>15.265000000000001</v>
      </c>
      <c r="F64" s="21">
        <v>2.0038178000000002</v>
      </c>
      <c r="G64" s="22">
        <v>-290</v>
      </c>
      <c r="H64" s="23" t="s">
        <v>21</v>
      </c>
    </row>
    <row r="65" spans="1:8" x14ac:dyDescent="0.3">
      <c r="A65" s="18" t="s">
        <v>46</v>
      </c>
      <c r="B65" s="19">
        <v>15270000</v>
      </c>
      <c r="C65" s="19">
        <v>15280000</v>
      </c>
      <c r="D65" s="19">
        <v>15275000</v>
      </c>
      <c r="E65" s="20">
        <v>15.275</v>
      </c>
      <c r="F65" s="21">
        <v>1.5910548</v>
      </c>
      <c r="G65" s="22">
        <v>-280</v>
      </c>
      <c r="H65" s="23"/>
    </row>
    <row r="66" spans="1:8" x14ac:dyDescent="0.3">
      <c r="A66" s="18" t="s">
        <v>46</v>
      </c>
      <c r="B66" s="19">
        <v>15280000</v>
      </c>
      <c r="C66" s="19">
        <v>15290000</v>
      </c>
      <c r="D66" s="19">
        <v>15285000</v>
      </c>
      <c r="E66" s="20">
        <v>15.285</v>
      </c>
      <c r="F66" s="21">
        <v>1.4029639</v>
      </c>
      <c r="G66" s="22">
        <v>-270</v>
      </c>
      <c r="H66" s="23"/>
    </row>
    <row r="67" spans="1:8" x14ac:dyDescent="0.3">
      <c r="A67" s="18" t="s">
        <v>46</v>
      </c>
      <c r="B67" s="19">
        <v>15290000</v>
      </c>
      <c r="C67" s="19">
        <v>15300000</v>
      </c>
      <c r="D67" s="19">
        <v>15295000</v>
      </c>
      <c r="E67" s="20">
        <v>15.295</v>
      </c>
      <c r="F67" s="21">
        <v>2.1182547</v>
      </c>
      <c r="G67" s="22">
        <v>-260</v>
      </c>
      <c r="H67" s="23"/>
    </row>
    <row r="68" spans="1:8" x14ac:dyDescent="0.3">
      <c r="A68" s="18" t="s">
        <v>46</v>
      </c>
      <c r="B68" s="19">
        <v>15300000</v>
      </c>
      <c r="C68" s="19">
        <v>15310000</v>
      </c>
      <c r="D68" s="19">
        <v>15305000</v>
      </c>
      <c r="E68" s="20">
        <v>15.305</v>
      </c>
      <c r="F68" s="21">
        <v>1.6974334</v>
      </c>
      <c r="G68" s="22">
        <v>-250</v>
      </c>
      <c r="H68" s="23"/>
    </row>
    <row r="69" spans="1:8" x14ac:dyDescent="0.3">
      <c r="A69" s="18" t="s">
        <v>46</v>
      </c>
      <c r="B69" s="19">
        <v>15310000</v>
      </c>
      <c r="C69" s="19">
        <v>15320000</v>
      </c>
      <c r="D69" s="19">
        <v>15315000</v>
      </c>
      <c r="E69" s="20">
        <v>15.315</v>
      </c>
      <c r="F69" s="21">
        <v>2.4383952999999998</v>
      </c>
      <c r="G69" s="22">
        <v>-240</v>
      </c>
      <c r="H69" s="23" t="s">
        <v>18</v>
      </c>
    </row>
    <row r="70" spans="1:8" x14ac:dyDescent="0.3">
      <c r="A70" s="18" t="s">
        <v>46</v>
      </c>
      <c r="B70" s="19">
        <v>15320000</v>
      </c>
      <c r="C70" s="19">
        <v>15330000</v>
      </c>
      <c r="D70" s="19">
        <v>15325000</v>
      </c>
      <c r="E70" s="20">
        <v>15.324999999999999</v>
      </c>
      <c r="F70" s="21">
        <v>1.4589840000000001</v>
      </c>
      <c r="G70" s="22">
        <v>-230</v>
      </c>
      <c r="H70" s="23"/>
    </row>
    <row r="71" spans="1:8" x14ac:dyDescent="0.3">
      <c r="A71" s="18" t="s">
        <v>46</v>
      </c>
      <c r="B71" s="19">
        <v>15330000</v>
      </c>
      <c r="C71" s="19">
        <v>15340000</v>
      </c>
      <c r="D71" s="19">
        <v>15335000</v>
      </c>
      <c r="E71" s="20">
        <v>15.335000000000001</v>
      </c>
      <c r="F71" s="21">
        <v>0.81657690000000005</v>
      </c>
      <c r="G71" s="22">
        <v>-220</v>
      </c>
      <c r="H71" s="23"/>
    </row>
    <row r="72" spans="1:8" x14ac:dyDescent="0.3">
      <c r="A72" s="18" t="s">
        <v>46</v>
      </c>
      <c r="B72" s="19">
        <v>15340000</v>
      </c>
      <c r="C72" s="19">
        <v>15350000</v>
      </c>
      <c r="D72" s="19">
        <v>15345000</v>
      </c>
      <c r="E72" s="20">
        <v>15.345000000000001</v>
      </c>
      <c r="F72" s="21">
        <v>0</v>
      </c>
      <c r="G72" s="22">
        <v>-210</v>
      </c>
      <c r="H72" s="23"/>
    </row>
    <row r="73" spans="1:8" x14ac:dyDescent="0.3">
      <c r="A73" s="18" t="s">
        <v>46</v>
      </c>
      <c r="B73" s="19">
        <v>15350000</v>
      </c>
      <c r="C73" s="19">
        <v>15360000</v>
      </c>
      <c r="D73" s="19">
        <v>15355000</v>
      </c>
      <c r="E73" s="20">
        <v>15.355</v>
      </c>
      <c r="F73" s="21">
        <v>1.8694301</v>
      </c>
      <c r="G73" s="22">
        <v>-200</v>
      </c>
      <c r="H73" s="23"/>
    </row>
    <row r="74" spans="1:8" x14ac:dyDescent="0.3">
      <c r="A74" s="18" t="s">
        <v>46</v>
      </c>
      <c r="B74" s="19">
        <v>15360000</v>
      </c>
      <c r="C74" s="19">
        <v>15370000</v>
      </c>
      <c r="D74" s="19">
        <v>15365000</v>
      </c>
      <c r="E74" s="20">
        <v>15.365</v>
      </c>
      <c r="F74" s="21">
        <v>1.5514939000000001</v>
      </c>
      <c r="G74" s="22">
        <v>-190</v>
      </c>
      <c r="H74" s="23"/>
    </row>
    <row r="75" spans="1:8" x14ac:dyDescent="0.3">
      <c r="A75" s="18" t="s">
        <v>46</v>
      </c>
      <c r="B75" s="19">
        <v>15370000</v>
      </c>
      <c r="C75" s="19">
        <v>15380000</v>
      </c>
      <c r="D75" s="19">
        <v>15375000</v>
      </c>
      <c r="E75" s="20">
        <v>15.375</v>
      </c>
      <c r="F75" s="21">
        <v>1.2266524999999999</v>
      </c>
      <c r="G75" s="22">
        <v>-180</v>
      </c>
      <c r="H75" s="23"/>
    </row>
    <row r="76" spans="1:8" x14ac:dyDescent="0.3">
      <c r="A76" s="18" t="s">
        <v>46</v>
      </c>
      <c r="B76" s="19">
        <v>15380000</v>
      </c>
      <c r="C76" s="19">
        <v>15390000</v>
      </c>
      <c r="D76" s="19">
        <v>15385000</v>
      </c>
      <c r="E76" s="20">
        <v>15.385</v>
      </c>
      <c r="F76" s="21">
        <v>1.9597306999999999</v>
      </c>
      <c r="G76" s="22">
        <v>-170</v>
      </c>
      <c r="H76" s="23"/>
    </row>
    <row r="77" spans="1:8" x14ac:dyDescent="0.3">
      <c r="A77" s="18" t="s">
        <v>46</v>
      </c>
      <c r="B77" s="19">
        <v>15390000</v>
      </c>
      <c r="C77" s="19">
        <v>15400000</v>
      </c>
      <c r="D77" s="19">
        <v>15395000</v>
      </c>
      <c r="E77" s="20">
        <v>15.395</v>
      </c>
      <c r="F77" s="21">
        <v>1.5777977999999999</v>
      </c>
      <c r="G77" s="22">
        <v>-160</v>
      </c>
      <c r="H77" s="23"/>
    </row>
    <row r="78" spans="1:8" x14ac:dyDescent="0.3">
      <c r="A78" s="18" t="s">
        <v>46</v>
      </c>
      <c r="B78" s="19">
        <v>15400000</v>
      </c>
      <c r="C78" s="19">
        <v>15410000</v>
      </c>
      <c r="D78" s="19">
        <v>15405000</v>
      </c>
      <c r="E78" s="20">
        <v>15.404999999999999</v>
      </c>
      <c r="F78" s="21">
        <v>0.74280243999999995</v>
      </c>
      <c r="G78" s="22">
        <v>-150</v>
      </c>
      <c r="H78" s="23"/>
    </row>
    <row r="79" spans="1:8" x14ac:dyDescent="0.3">
      <c r="A79" s="18" t="s">
        <v>46</v>
      </c>
      <c r="B79" s="19">
        <v>15410000</v>
      </c>
      <c r="C79" s="19">
        <v>15420000</v>
      </c>
      <c r="D79" s="19">
        <v>15415000</v>
      </c>
      <c r="E79" s="20">
        <v>15.414999999999999</v>
      </c>
      <c r="F79" s="21">
        <v>1.2132645</v>
      </c>
      <c r="G79" s="22">
        <v>-140</v>
      </c>
      <c r="H79" s="23"/>
    </row>
    <row r="80" spans="1:8" x14ac:dyDescent="0.3">
      <c r="A80" s="18" t="s">
        <v>46</v>
      </c>
      <c r="B80" s="19">
        <v>15420000</v>
      </c>
      <c r="C80" s="19">
        <v>15430000</v>
      </c>
      <c r="D80" s="19">
        <v>15425000</v>
      </c>
      <c r="E80" s="20">
        <v>15.425000000000001</v>
      </c>
      <c r="F80" s="21">
        <v>1.6418545</v>
      </c>
      <c r="G80" s="22">
        <v>-130</v>
      </c>
      <c r="H80" s="23"/>
    </row>
    <row r="81" spans="1:8" x14ac:dyDescent="0.3">
      <c r="A81" s="18" t="s">
        <v>46</v>
      </c>
      <c r="B81" s="19">
        <v>15430000</v>
      </c>
      <c r="C81" s="19">
        <v>15440000</v>
      </c>
      <c r="D81" s="19">
        <v>15435000</v>
      </c>
      <c r="E81" s="20">
        <v>15.435</v>
      </c>
      <c r="F81" s="21">
        <v>2.3854517999999998</v>
      </c>
      <c r="G81" s="22">
        <v>-120</v>
      </c>
      <c r="H81" s="23"/>
    </row>
    <row r="82" spans="1:8" x14ac:dyDescent="0.3">
      <c r="A82" s="18" t="s">
        <v>46</v>
      </c>
      <c r="B82" s="19">
        <v>15440000</v>
      </c>
      <c r="C82" s="19">
        <v>15450000</v>
      </c>
      <c r="D82" s="19">
        <v>15445000</v>
      </c>
      <c r="E82" s="20">
        <v>15.445</v>
      </c>
      <c r="F82" s="21">
        <v>1.2518415000000001</v>
      </c>
      <c r="G82" s="22">
        <v>-110</v>
      </c>
      <c r="H82" s="23"/>
    </row>
    <row r="83" spans="1:8" x14ac:dyDescent="0.3">
      <c r="A83" s="18" t="s">
        <v>46</v>
      </c>
      <c r="B83" s="19">
        <v>15450000</v>
      </c>
      <c r="C83" s="19">
        <v>15460000</v>
      </c>
      <c r="D83" s="19">
        <v>15455000</v>
      </c>
      <c r="E83" s="20">
        <v>15.455</v>
      </c>
      <c r="F83" s="21">
        <v>1.8880032</v>
      </c>
      <c r="G83" s="22">
        <v>-100</v>
      </c>
      <c r="H83" s="23"/>
    </row>
    <row r="84" spans="1:8" x14ac:dyDescent="0.3">
      <c r="A84" s="18" t="s">
        <v>46</v>
      </c>
      <c r="B84" s="19">
        <v>15460000</v>
      </c>
      <c r="C84" s="19">
        <v>15470000</v>
      </c>
      <c r="D84" s="19">
        <v>15465000</v>
      </c>
      <c r="E84" s="20">
        <v>15.465</v>
      </c>
      <c r="F84" s="21">
        <v>1.7607588999999999</v>
      </c>
      <c r="G84" s="22">
        <v>-90</v>
      </c>
      <c r="H84" s="23"/>
    </row>
    <row r="85" spans="1:8" x14ac:dyDescent="0.3">
      <c r="A85" s="18" t="s">
        <v>46</v>
      </c>
      <c r="B85" s="19">
        <v>15470000</v>
      </c>
      <c r="C85" s="19">
        <v>15480000</v>
      </c>
      <c r="D85" s="19">
        <v>15475000</v>
      </c>
      <c r="E85" s="20">
        <v>15.475</v>
      </c>
      <c r="F85" s="21">
        <v>0.73995613999999998</v>
      </c>
      <c r="G85" s="22">
        <v>-80</v>
      </c>
      <c r="H85" s="23"/>
    </row>
    <row r="86" spans="1:8" x14ac:dyDescent="0.3">
      <c r="A86" s="18" t="s">
        <v>46</v>
      </c>
      <c r="B86" s="19">
        <v>15480000</v>
      </c>
      <c r="C86" s="19">
        <v>15490000</v>
      </c>
      <c r="D86" s="19">
        <v>15485000</v>
      </c>
      <c r="E86" s="20">
        <v>15.484999999999999</v>
      </c>
      <c r="F86" s="21">
        <v>1.4200235999999999</v>
      </c>
      <c r="G86" s="22">
        <v>-70</v>
      </c>
      <c r="H86" s="23"/>
    </row>
    <row r="87" spans="1:8" x14ac:dyDescent="0.3">
      <c r="A87" s="18" t="s">
        <v>46</v>
      </c>
      <c r="B87" s="19">
        <v>15490000</v>
      </c>
      <c r="C87" s="19">
        <v>15500000</v>
      </c>
      <c r="D87" s="19">
        <v>15495000</v>
      </c>
      <c r="E87" s="20">
        <v>15.494999999999999</v>
      </c>
      <c r="F87" s="21">
        <v>1.7430254999999999</v>
      </c>
      <c r="G87" s="22">
        <v>-60</v>
      </c>
      <c r="H87" s="23"/>
    </row>
    <row r="88" spans="1:8" x14ac:dyDescent="0.3">
      <c r="A88" s="18" t="s">
        <v>46</v>
      </c>
      <c r="B88" s="19">
        <v>15500000</v>
      </c>
      <c r="C88" s="19">
        <v>15510000</v>
      </c>
      <c r="D88" s="19">
        <v>15505000</v>
      </c>
      <c r="E88" s="20">
        <v>15.505000000000001</v>
      </c>
      <c r="F88" s="21">
        <v>0.48583423999999997</v>
      </c>
      <c r="G88" s="22">
        <v>-50</v>
      </c>
      <c r="H88" s="23"/>
    </row>
    <row r="89" spans="1:8" x14ac:dyDescent="0.3">
      <c r="A89" s="18" t="s">
        <v>46</v>
      </c>
      <c r="B89" s="19">
        <v>15510000</v>
      </c>
      <c r="C89" s="19">
        <v>15520000</v>
      </c>
      <c r="D89" s="19">
        <v>15515000</v>
      </c>
      <c r="E89" s="20">
        <v>15.515000000000001</v>
      </c>
      <c r="F89" s="21">
        <v>1.2651876</v>
      </c>
      <c r="G89" s="22">
        <v>-40</v>
      </c>
      <c r="H89" s="23"/>
    </row>
    <row r="90" spans="1:8" x14ac:dyDescent="0.3">
      <c r="A90" s="18" t="s">
        <v>46</v>
      </c>
      <c r="B90" s="19">
        <v>15520000</v>
      </c>
      <c r="C90" s="19">
        <v>15530000</v>
      </c>
      <c r="D90" s="19">
        <v>15525000</v>
      </c>
      <c r="E90" s="20">
        <v>15.525</v>
      </c>
      <c r="F90" s="21">
        <v>0.71591126999999999</v>
      </c>
      <c r="G90" s="22">
        <v>-30</v>
      </c>
      <c r="H90" s="23" t="s">
        <v>83</v>
      </c>
    </row>
    <row r="91" spans="1:8" x14ac:dyDescent="0.3">
      <c r="A91" s="18" t="s">
        <v>46</v>
      </c>
      <c r="B91" s="19">
        <v>15530000</v>
      </c>
      <c r="C91" s="19">
        <v>15540000</v>
      </c>
      <c r="D91" s="19">
        <v>15535000</v>
      </c>
      <c r="E91" s="20">
        <v>15.535</v>
      </c>
      <c r="F91" s="21">
        <v>1.2572492</v>
      </c>
      <c r="G91" s="22">
        <v>-20</v>
      </c>
      <c r="H91" s="23" t="s">
        <v>84</v>
      </c>
    </row>
    <row r="92" spans="1:8" x14ac:dyDescent="0.3">
      <c r="A92" s="18" t="s">
        <v>46</v>
      </c>
      <c r="B92" s="19">
        <v>15540000</v>
      </c>
      <c r="C92" s="19">
        <v>15550000</v>
      </c>
      <c r="D92" s="19">
        <v>15545000</v>
      </c>
      <c r="E92" s="20">
        <v>15.545</v>
      </c>
      <c r="F92" s="21">
        <v>0.86539840000000001</v>
      </c>
      <c r="G92" s="22">
        <v>-10</v>
      </c>
      <c r="H92" s="23" t="s">
        <v>16</v>
      </c>
    </row>
    <row r="93" spans="1:8" x14ac:dyDescent="0.3">
      <c r="A93" s="18" t="s">
        <v>46</v>
      </c>
      <c r="B93" s="19">
        <v>15550000</v>
      </c>
      <c r="C93" s="19">
        <v>15560000</v>
      </c>
      <c r="D93" s="19">
        <v>15555000</v>
      </c>
      <c r="E93" s="20">
        <v>15.555</v>
      </c>
      <c r="F93" s="21">
        <v>0.91064619999999996</v>
      </c>
      <c r="G93" s="22">
        <v>0</v>
      </c>
      <c r="H93" s="23"/>
    </row>
    <row r="94" spans="1:8" x14ac:dyDescent="0.3">
      <c r="A94" s="18" t="s">
        <v>46</v>
      </c>
      <c r="B94" s="19">
        <v>15560000</v>
      </c>
      <c r="C94" s="19">
        <v>15570000</v>
      </c>
      <c r="D94" s="19">
        <v>15565000</v>
      </c>
      <c r="E94" s="20">
        <v>15.565</v>
      </c>
      <c r="F94" s="21">
        <v>0.57845913999999998</v>
      </c>
      <c r="G94" s="22">
        <v>10</v>
      </c>
      <c r="H94" s="23"/>
    </row>
    <row r="95" spans="1:8" x14ac:dyDescent="0.3">
      <c r="A95" s="18" t="s">
        <v>46</v>
      </c>
      <c r="B95" s="19">
        <v>15570000</v>
      </c>
      <c r="C95" s="19">
        <v>15580000</v>
      </c>
      <c r="D95" s="19">
        <v>15575000</v>
      </c>
      <c r="E95" s="20">
        <v>15.574999999999999</v>
      </c>
      <c r="F95" s="21">
        <v>0.75591960000000002</v>
      </c>
      <c r="G95" s="22">
        <v>20</v>
      </c>
      <c r="H95" s="23"/>
    </row>
    <row r="96" spans="1:8" x14ac:dyDescent="0.3">
      <c r="A96" s="18" t="s">
        <v>46</v>
      </c>
      <c r="B96" s="19">
        <v>15580000</v>
      </c>
      <c r="C96" s="19">
        <v>15590000</v>
      </c>
      <c r="D96" s="19">
        <v>15585000</v>
      </c>
      <c r="E96" s="20">
        <v>15.585000000000001</v>
      </c>
      <c r="F96" s="21">
        <v>1.0918859999999999</v>
      </c>
      <c r="G96" s="22">
        <v>30</v>
      </c>
      <c r="H96" s="23"/>
    </row>
    <row r="97" spans="1:8" x14ac:dyDescent="0.3">
      <c r="A97" s="18" t="s">
        <v>46</v>
      </c>
      <c r="B97" s="19">
        <v>15590000</v>
      </c>
      <c r="C97" s="19">
        <v>15600000</v>
      </c>
      <c r="D97" s="19">
        <v>15595000</v>
      </c>
      <c r="E97" s="20">
        <v>15.595000000000001</v>
      </c>
      <c r="F97" s="21">
        <v>0.63376653000000005</v>
      </c>
      <c r="G97" s="22">
        <v>40</v>
      </c>
      <c r="H97" s="23"/>
    </row>
    <row r="98" spans="1:8" x14ac:dyDescent="0.3">
      <c r="A98" s="18" t="s">
        <v>46</v>
      </c>
      <c r="B98" s="19">
        <v>15600000</v>
      </c>
      <c r="C98" s="19">
        <v>15610000</v>
      </c>
      <c r="D98" s="19">
        <v>15605000</v>
      </c>
      <c r="E98" s="20">
        <v>15.605</v>
      </c>
      <c r="F98" s="21">
        <v>1.0718966999999999</v>
      </c>
      <c r="G98" s="22">
        <v>50</v>
      </c>
      <c r="H98" s="23"/>
    </row>
    <row r="99" spans="1:8" x14ac:dyDescent="0.3">
      <c r="A99" s="18" t="s">
        <v>46</v>
      </c>
      <c r="B99" s="19">
        <v>15610000</v>
      </c>
      <c r="C99" s="19">
        <v>15620000</v>
      </c>
      <c r="D99" s="19">
        <v>15615000</v>
      </c>
      <c r="E99" s="20">
        <v>15.615</v>
      </c>
      <c r="F99" s="21">
        <v>1.2678517</v>
      </c>
      <c r="G99" s="22">
        <v>60</v>
      </c>
      <c r="H99" s="23"/>
    </row>
    <row r="100" spans="1:8" x14ac:dyDescent="0.3">
      <c r="A100" s="18" t="s">
        <v>46</v>
      </c>
      <c r="B100" s="19">
        <v>15620000</v>
      </c>
      <c r="C100" s="19">
        <v>15630000</v>
      </c>
      <c r="D100" s="19">
        <v>15625000</v>
      </c>
      <c r="E100" s="20">
        <v>15.625</v>
      </c>
      <c r="F100" s="21">
        <v>1.2260507</v>
      </c>
      <c r="G100" s="22">
        <v>70</v>
      </c>
      <c r="H100" s="23"/>
    </row>
    <row r="101" spans="1:8" x14ac:dyDescent="0.3">
      <c r="A101" s="18" t="s">
        <v>46</v>
      </c>
      <c r="B101" s="19">
        <v>15630000</v>
      </c>
      <c r="C101" s="19">
        <v>15640000</v>
      </c>
      <c r="D101" s="19">
        <v>15635000</v>
      </c>
      <c r="E101" s="20">
        <v>15.635</v>
      </c>
      <c r="F101" s="21">
        <v>1.4282333</v>
      </c>
      <c r="G101" s="22">
        <v>80</v>
      </c>
      <c r="H101" s="23"/>
    </row>
    <row r="102" spans="1:8" x14ac:dyDescent="0.3">
      <c r="A102" s="18" t="s">
        <v>46</v>
      </c>
      <c r="B102" s="19">
        <v>15640000</v>
      </c>
      <c r="C102" s="19">
        <v>15650000</v>
      </c>
      <c r="D102" s="19">
        <v>15645000</v>
      </c>
      <c r="E102" s="20">
        <v>15.645</v>
      </c>
      <c r="F102" s="21">
        <v>1.5664107</v>
      </c>
      <c r="G102" s="22">
        <v>90</v>
      </c>
      <c r="H102" s="23" t="s">
        <v>85</v>
      </c>
    </row>
    <row r="103" spans="1:8" x14ac:dyDescent="0.3">
      <c r="A103" s="18" t="s">
        <v>46</v>
      </c>
      <c r="B103" s="19">
        <v>15650000</v>
      </c>
      <c r="C103" s="19">
        <v>15660000</v>
      </c>
      <c r="D103" s="19">
        <v>15655000</v>
      </c>
      <c r="E103" s="20">
        <v>15.654999999999999</v>
      </c>
      <c r="F103" s="21">
        <v>1.9658195999999999</v>
      </c>
      <c r="G103" s="22">
        <v>100</v>
      </c>
      <c r="H103" s="23" t="s">
        <v>13</v>
      </c>
    </row>
    <row r="104" spans="1:8" x14ac:dyDescent="0.3">
      <c r="A104" s="18" t="s">
        <v>46</v>
      </c>
      <c r="B104" s="19">
        <v>15660000</v>
      </c>
      <c r="C104" s="19">
        <v>15670000</v>
      </c>
      <c r="D104" s="19">
        <v>15665000</v>
      </c>
      <c r="E104" s="20">
        <v>15.664999999999999</v>
      </c>
      <c r="F104" s="21">
        <v>1.1220345</v>
      </c>
      <c r="G104" s="22">
        <v>110</v>
      </c>
      <c r="H104" s="23"/>
    </row>
    <row r="105" spans="1:8" x14ac:dyDescent="0.3">
      <c r="A105" s="18" t="s">
        <v>46</v>
      </c>
      <c r="B105" s="19">
        <v>15670000</v>
      </c>
      <c r="C105" s="19">
        <v>15680000</v>
      </c>
      <c r="D105" s="19">
        <v>15675000</v>
      </c>
      <c r="E105" s="20">
        <v>15.675000000000001</v>
      </c>
      <c r="F105" s="21">
        <v>0.90159655000000005</v>
      </c>
      <c r="G105" s="22">
        <v>120</v>
      </c>
      <c r="H105" s="23"/>
    </row>
    <row r="106" spans="1:8" x14ac:dyDescent="0.3">
      <c r="A106" s="18" t="s">
        <v>46</v>
      </c>
      <c r="B106" s="19">
        <v>15680000</v>
      </c>
      <c r="C106" s="19">
        <v>15690000</v>
      </c>
      <c r="D106" s="19">
        <v>15685000</v>
      </c>
      <c r="E106" s="20">
        <v>15.685</v>
      </c>
      <c r="F106" s="21">
        <v>1.2831367</v>
      </c>
      <c r="G106" s="22">
        <v>130</v>
      </c>
      <c r="H106" s="23"/>
    </row>
    <row r="107" spans="1:8" x14ac:dyDescent="0.3">
      <c r="A107" s="18" t="s">
        <v>46</v>
      </c>
      <c r="B107" s="19">
        <v>15690000</v>
      </c>
      <c r="C107" s="19">
        <v>15700000</v>
      </c>
      <c r="D107" s="19">
        <v>15695000</v>
      </c>
      <c r="E107" s="20">
        <v>15.695</v>
      </c>
      <c r="F107" s="21">
        <v>0.78880969999999995</v>
      </c>
      <c r="G107" s="22">
        <v>140</v>
      </c>
      <c r="H107" s="23"/>
    </row>
    <row r="108" spans="1:8" x14ac:dyDescent="0.3">
      <c r="A108" s="18" t="s">
        <v>46</v>
      </c>
      <c r="B108" s="19">
        <v>15700000</v>
      </c>
      <c r="C108" s="19">
        <v>15710000</v>
      </c>
      <c r="D108" s="19">
        <v>15705000</v>
      </c>
      <c r="E108" s="20">
        <v>15.705</v>
      </c>
      <c r="F108" s="21">
        <v>1.6390065</v>
      </c>
      <c r="G108" s="22">
        <v>150</v>
      </c>
      <c r="H108" s="23" t="s">
        <v>12</v>
      </c>
    </row>
    <row r="109" spans="1:8" x14ac:dyDescent="0.3">
      <c r="A109" s="18" t="s">
        <v>46</v>
      </c>
      <c r="B109" s="19">
        <v>15710000</v>
      </c>
      <c r="C109" s="19">
        <v>15720000</v>
      </c>
      <c r="D109" s="19">
        <v>15715000</v>
      </c>
      <c r="E109" s="20">
        <v>15.715</v>
      </c>
      <c r="F109" s="21">
        <v>1.2513117</v>
      </c>
      <c r="G109" s="22">
        <v>160</v>
      </c>
      <c r="H109" s="23" t="s">
        <v>11</v>
      </c>
    </row>
    <row r="110" spans="1:8" x14ac:dyDescent="0.3">
      <c r="A110" s="18" t="s">
        <v>46</v>
      </c>
      <c r="B110" s="19">
        <v>15720000</v>
      </c>
      <c r="C110" s="19">
        <v>15730000</v>
      </c>
      <c r="D110" s="19">
        <v>15725000</v>
      </c>
      <c r="E110" s="20">
        <v>15.725</v>
      </c>
      <c r="F110" s="21">
        <v>0.60336009999999995</v>
      </c>
      <c r="G110" s="22">
        <v>170</v>
      </c>
      <c r="H110" s="23"/>
    </row>
    <row r="111" spans="1:8" x14ac:dyDescent="0.3">
      <c r="A111" s="18" t="s">
        <v>46</v>
      </c>
      <c r="B111" s="19">
        <v>15730000</v>
      </c>
      <c r="C111" s="19">
        <v>15740000</v>
      </c>
      <c r="D111" s="19">
        <v>15735000</v>
      </c>
      <c r="E111" s="20">
        <v>15.734999999999999</v>
      </c>
      <c r="F111" s="21">
        <v>0.81725835999999996</v>
      </c>
      <c r="G111" s="22">
        <v>180</v>
      </c>
      <c r="H111" s="23"/>
    </row>
    <row r="112" spans="1:8" x14ac:dyDescent="0.3">
      <c r="A112" s="18" t="s">
        <v>46</v>
      </c>
      <c r="B112" s="19">
        <v>15740000</v>
      </c>
      <c r="C112" s="19">
        <v>15750000</v>
      </c>
      <c r="D112" s="19">
        <v>15745000</v>
      </c>
      <c r="E112" s="20">
        <v>15.744999999999999</v>
      </c>
      <c r="F112" s="21">
        <v>2.3984947000000001</v>
      </c>
      <c r="G112" s="22">
        <v>190</v>
      </c>
      <c r="H112" s="23"/>
    </row>
    <row r="113" spans="1:8" x14ac:dyDescent="0.3">
      <c r="A113" s="18" t="s">
        <v>46</v>
      </c>
      <c r="B113" s="19">
        <v>15750000</v>
      </c>
      <c r="C113" s="19">
        <v>15760000</v>
      </c>
      <c r="D113" s="19">
        <v>15755000</v>
      </c>
      <c r="E113" s="20">
        <v>15.755000000000001</v>
      </c>
      <c r="F113" s="21">
        <v>2.3415520000000001</v>
      </c>
      <c r="G113" s="22">
        <v>200</v>
      </c>
      <c r="H113" s="23" t="s">
        <v>14</v>
      </c>
    </row>
    <row r="114" spans="1:8" x14ac:dyDescent="0.3">
      <c r="A114" s="18" t="s">
        <v>46</v>
      </c>
      <c r="B114" s="19">
        <v>15760000</v>
      </c>
      <c r="C114" s="19">
        <v>15770000</v>
      </c>
      <c r="D114" s="19">
        <v>15765000</v>
      </c>
      <c r="E114" s="20">
        <v>15.765000000000001</v>
      </c>
      <c r="F114" s="21">
        <v>1.4453361</v>
      </c>
      <c r="G114" s="22">
        <v>210</v>
      </c>
      <c r="H114" s="23"/>
    </row>
    <row r="115" spans="1:8" x14ac:dyDescent="0.3">
      <c r="A115" s="18" t="s">
        <v>46</v>
      </c>
      <c r="B115" s="19">
        <v>15770000</v>
      </c>
      <c r="C115" s="19">
        <v>15780000</v>
      </c>
      <c r="D115" s="19">
        <v>15775000</v>
      </c>
      <c r="E115" s="20">
        <v>15.775</v>
      </c>
      <c r="F115" s="21">
        <v>1.4197736999999999</v>
      </c>
      <c r="G115" s="22">
        <v>220</v>
      </c>
      <c r="H115" s="23"/>
    </row>
    <row r="116" spans="1:8" x14ac:dyDescent="0.3">
      <c r="A116" s="18" t="s">
        <v>46</v>
      </c>
      <c r="B116" s="19">
        <v>15780000</v>
      </c>
      <c r="C116" s="19">
        <v>15790000</v>
      </c>
      <c r="D116" s="19">
        <v>15785000</v>
      </c>
      <c r="E116" s="20">
        <v>15.785</v>
      </c>
      <c r="F116" s="21">
        <v>1.6851043000000001</v>
      </c>
      <c r="G116" s="22">
        <v>230</v>
      </c>
      <c r="H116" s="23"/>
    </row>
    <row r="117" spans="1:8" x14ac:dyDescent="0.3">
      <c r="A117" s="18" t="s">
        <v>46</v>
      </c>
      <c r="B117" s="19">
        <v>15790000</v>
      </c>
      <c r="C117" s="19">
        <v>15800000</v>
      </c>
      <c r="D117" s="19">
        <v>15795000</v>
      </c>
      <c r="E117" s="20">
        <v>15.795</v>
      </c>
      <c r="F117" s="21">
        <v>0.88226249999999995</v>
      </c>
      <c r="G117" s="22">
        <v>240</v>
      </c>
      <c r="H117" s="23" t="s">
        <v>15</v>
      </c>
    </row>
    <row r="118" spans="1:8" x14ac:dyDescent="0.3">
      <c r="A118" s="18" t="s">
        <v>46</v>
      </c>
      <c r="B118" s="19">
        <v>15800000</v>
      </c>
      <c r="C118" s="19">
        <v>15810000</v>
      </c>
      <c r="D118" s="19">
        <v>15805000</v>
      </c>
      <c r="E118" s="20">
        <v>15.805</v>
      </c>
      <c r="F118" s="21">
        <v>2.988912</v>
      </c>
      <c r="G118" s="22">
        <v>250</v>
      </c>
      <c r="H118" s="23"/>
    </row>
    <row r="119" spans="1:8" x14ac:dyDescent="0.3">
      <c r="A119" s="18" t="s">
        <v>46</v>
      </c>
      <c r="B119" s="19">
        <v>15810000</v>
      </c>
      <c r="C119" s="19">
        <v>15820000</v>
      </c>
      <c r="D119" s="19">
        <v>15815000</v>
      </c>
      <c r="E119" s="20">
        <v>15.815</v>
      </c>
      <c r="F119" s="21">
        <v>1.573758</v>
      </c>
      <c r="G119" s="22">
        <v>260</v>
      </c>
      <c r="H119" s="23"/>
    </row>
    <row r="120" spans="1:8" x14ac:dyDescent="0.3">
      <c r="A120" s="18" t="s">
        <v>46</v>
      </c>
      <c r="B120" s="19">
        <v>15820000</v>
      </c>
      <c r="C120" s="19">
        <v>15830000</v>
      </c>
      <c r="D120" s="19">
        <v>15825000</v>
      </c>
      <c r="E120" s="20">
        <v>15.824999999999999</v>
      </c>
      <c r="F120" s="21">
        <v>2.2786400000000002</v>
      </c>
      <c r="G120" s="22">
        <v>270</v>
      </c>
      <c r="H120" s="23"/>
    </row>
    <row r="121" spans="1:8" x14ac:dyDescent="0.3">
      <c r="A121" s="18" t="s">
        <v>46</v>
      </c>
      <c r="B121" s="19">
        <v>15830000</v>
      </c>
      <c r="C121" s="19">
        <v>15840000</v>
      </c>
      <c r="D121" s="19">
        <v>15835000</v>
      </c>
      <c r="E121" s="20">
        <v>15.835000000000001</v>
      </c>
      <c r="F121" s="21">
        <v>1.9566451</v>
      </c>
      <c r="G121" s="22">
        <v>280</v>
      </c>
      <c r="H121" s="23"/>
    </row>
    <row r="122" spans="1:8" x14ac:dyDescent="0.3">
      <c r="A122" s="18" t="s">
        <v>46</v>
      </c>
      <c r="B122" s="19">
        <v>15840000</v>
      </c>
      <c r="C122" s="19">
        <v>15850000</v>
      </c>
      <c r="D122" s="19">
        <v>15845000</v>
      </c>
      <c r="E122" s="20">
        <v>15.845000000000001</v>
      </c>
      <c r="F122" s="21">
        <v>2.5309689999999998</v>
      </c>
      <c r="G122" s="22">
        <v>290</v>
      </c>
      <c r="H122" s="23"/>
    </row>
    <row r="123" spans="1:8" x14ac:dyDescent="0.3">
      <c r="A123" s="18" t="s">
        <v>46</v>
      </c>
      <c r="B123" s="19">
        <v>15850000</v>
      </c>
      <c r="C123" s="19">
        <v>15860000</v>
      </c>
      <c r="D123" s="19">
        <v>15855000</v>
      </c>
      <c r="E123" s="20">
        <v>15.855</v>
      </c>
      <c r="F123" s="21">
        <v>1.5727001</v>
      </c>
      <c r="G123" s="22">
        <v>300</v>
      </c>
      <c r="H123" s="23"/>
    </row>
    <row r="124" spans="1:8" x14ac:dyDescent="0.3">
      <c r="A124" s="18" t="s">
        <v>46</v>
      </c>
      <c r="B124" s="19">
        <v>15860000</v>
      </c>
      <c r="C124" s="19">
        <v>15870000</v>
      </c>
      <c r="D124" s="19">
        <v>15865000</v>
      </c>
      <c r="E124" s="20">
        <v>15.865</v>
      </c>
      <c r="F124" s="21">
        <v>1.2946215999999999</v>
      </c>
      <c r="G124" s="22">
        <v>310</v>
      </c>
      <c r="H124" s="23"/>
    </row>
    <row r="125" spans="1:8" x14ac:dyDescent="0.3">
      <c r="A125" s="18" t="s">
        <v>46</v>
      </c>
      <c r="B125" s="19">
        <v>15870000</v>
      </c>
      <c r="C125" s="19">
        <v>15880000</v>
      </c>
      <c r="D125" s="19">
        <v>15875000</v>
      </c>
      <c r="E125" s="20">
        <v>15.875</v>
      </c>
      <c r="F125" s="21">
        <v>0.95780810000000005</v>
      </c>
      <c r="G125" s="22">
        <v>320</v>
      </c>
      <c r="H125" s="23"/>
    </row>
    <row r="126" spans="1:8" x14ac:dyDescent="0.3">
      <c r="A126" s="18" t="s">
        <v>46</v>
      </c>
      <c r="B126" s="19">
        <v>15880000</v>
      </c>
      <c r="C126" s="19">
        <v>15890000</v>
      </c>
      <c r="D126" s="19">
        <v>15885000</v>
      </c>
      <c r="E126" s="20">
        <v>15.885</v>
      </c>
      <c r="F126" s="21">
        <v>1.1983143000000001</v>
      </c>
      <c r="G126" s="22">
        <v>330</v>
      </c>
      <c r="H126" s="23"/>
    </row>
    <row r="127" spans="1:8" x14ac:dyDescent="0.3">
      <c r="A127" s="18" t="s">
        <v>46</v>
      </c>
      <c r="B127" s="19">
        <v>15890000</v>
      </c>
      <c r="C127" s="19">
        <v>15900000</v>
      </c>
      <c r="D127" s="19">
        <v>15895000</v>
      </c>
      <c r="E127" s="20">
        <v>15.895</v>
      </c>
      <c r="F127" s="21">
        <v>0.35245525999999999</v>
      </c>
      <c r="G127" s="22">
        <v>340</v>
      </c>
      <c r="H127" s="23"/>
    </row>
    <row r="128" spans="1:8" x14ac:dyDescent="0.3">
      <c r="A128" s="18" t="s">
        <v>46</v>
      </c>
      <c r="B128" s="19">
        <v>15900000</v>
      </c>
      <c r="C128" s="19">
        <v>15910000</v>
      </c>
      <c r="D128" s="19">
        <v>15905000</v>
      </c>
      <c r="E128" s="20">
        <v>15.904999999999999</v>
      </c>
      <c r="F128" s="21">
        <v>0.68938140000000003</v>
      </c>
      <c r="G128" s="22">
        <v>350</v>
      </c>
      <c r="H128" s="23"/>
    </row>
    <row r="129" spans="1:8" x14ac:dyDescent="0.3">
      <c r="A129" s="18" t="s">
        <v>46</v>
      </c>
      <c r="B129" s="19">
        <v>15910000</v>
      </c>
      <c r="C129" s="19">
        <v>15920000</v>
      </c>
      <c r="D129" s="19">
        <v>15915000</v>
      </c>
      <c r="E129" s="20">
        <v>15.914999999999999</v>
      </c>
      <c r="F129" s="21">
        <v>0.53529289999999996</v>
      </c>
      <c r="G129" s="22">
        <v>360</v>
      </c>
      <c r="H129" s="23"/>
    </row>
    <row r="130" spans="1:8" x14ac:dyDescent="0.3">
      <c r="A130" s="18" t="s">
        <v>46</v>
      </c>
      <c r="B130" s="19">
        <v>15920000</v>
      </c>
      <c r="C130" s="19">
        <v>15930000</v>
      </c>
      <c r="D130" s="19">
        <v>15925000</v>
      </c>
      <c r="E130" s="20">
        <v>15.925000000000001</v>
      </c>
      <c r="F130" s="21">
        <v>0</v>
      </c>
      <c r="G130" s="22">
        <v>370</v>
      </c>
      <c r="H130" s="23"/>
    </row>
    <row r="131" spans="1:8" x14ac:dyDescent="0.3">
      <c r="A131" s="18" t="s">
        <v>46</v>
      </c>
      <c r="B131" s="19">
        <v>15930000</v>
      </c>
      <c r="C131" s="19">
        <v>15940000</v>
      </c>
      <c r="D131" s="19">
        <v>15935000</v>
      </c>
      <c r="E131" s="20">
        <v>15.935</v>
      </c>
      <c r="F131" s="21">
        <v>0.81578790000000001</v>
      </c>
      <c r="G131" s="22">
        <v>380</v>
      </c>
      <c r="H131" s="23"/>
    </row>
    <row r="132" spans="1:8" x14ac:dyDescent="0.3">
      <c r="A132" s="18" t="s">
        <v>46</v>
      </c>
      <c r="B132" s="19">
        <v>15940000</v>
      </c>
      <c r="C132" s="19">
        <v>15950000</v>
      </c>
      <c r="D132" s="19">
        <v>15945000</v>
      </c>
      <c r="E132" s="20">
        <v>15.945</v>
      </c>
      <c r="F132" s="21">
        <v>0.75574653999999997</v>
      </c>
      <c r="G132" s="22">
        <v>390</v>
      </c>
      <c r="H132" s="23"/>
    </row>
    <row r="133" spans="1:8" x14ac:dyDescent="0.3">
      <c r="A133" s="18" t="s">
        <v>46</v>
      </c>
      <c r="B133" s="19">
        <v>15950000</v>
      </c>
      <c r="C133" s="19">
        <v>15960000</v>
      </c>
      <c r="D133" s="19">
        <v>15955000</v>
      </c>
      <c r="E133" s="20">
        <v>15.955</v>
      </c>
      <c r="F133" s="21">
        <v>1.3161527</v>
      </c>
      <c r="G133" s="22">
        <v>400</v>
      </c>
      <c r="H133" s="23"/>
    </row>
    <row r="134" spans="1:8" x14ac:dyDescent="0.3">
      <c r="A134" s="18" t="s">
        <v>46</v>
      </c>
      <c r="B134" s="19">
        <v>15960000</v>
      </c>
      <c r="C134" s="19">
        <v>15970000</v>
      </c>
      <c r="D134" s="19">
        <v>15965000</v>
      </c>
      <c r="E134" s="20">
        <v>15.965</v>
      </c>
      <c r="F134" s="21">
        <v>0.29518973999999998</v>
      </c>
      <c r="G134" s="22">
        <v>410</v>
      </c>
      <c r="H134" s="23"/>
    </row>
    <row r="135" spans="1:8" x14ac:dyDescent="0.3">
      <c r="A135" s="18" t="s">
        <v>46</v>
      </c>
      <c r="B135" s="19">
        <v>15970000</v>
      </c>
      <c r="C135" s="19">
        <v>15980000</v>
      </c>
      <c r="D135" s="19">
        <v>15975000</v>
      </c>
      <c r="E135" s="20">
        <v>15.975</v>
      </c>
      <c r="F135" s="21">
        <v>0.31192734999999999</v>
      </c>
      <c r="G135" s="22">
        <v>420</v>
      </c>
      <c r="H135" s="23"/>
    </row>
    <row r="136" spans="1:8" x14ac:dyDescent="0.3">
      <c r="A136" s="18" t="s">
        <v>46</v>
      </c>
      <c r="B136" s="19">
        <v>15980000</v>
      </c>
      <c r="C136" s="19">
        <v>15990000</v>
      </c>
      <c r="D136" s="19">
        <v>15985000</v>
      </c>
      <c r="E136" s="20">
        <v>15.984999999999999</v>
      </c>
      <c r="F136" s="21">
        <v>0</v>
      </c>
      <c r="G136" s="22">
        <v>430</v>
      </c>
      <c r="H136" s="23"/>
    </row>
    <row r="137" spans="1:8" x14ac:dyDescent="0.3">
      <c r="A137" s="18" t="s">
        <v>46</v>
      </c>
      <c r="B137" s="19">
        <v>15990000</v>
      </c>
      <c r="C137" s="19">
        <v>16000000</v>
      </c>
      <c r="D137" s="19">
        <v>15995000</v>
      </c>
      <c r="E137" s="20">
        <v>15.994999999999999</v>
      </c>
      <c r="F137" s="21">
        <v>0.33195891999999999</v>
      </c>
      <c r="G137" s="22">
        <v>440</v>
      </c>
      <c r="H137" s="23"/>
    </row>
    <row r="138" spans="1:8" x14ac:dyDescent="0.3">
      <c r="A138" s="18" t="s">
        <v>46</v>
      </c>
      <c r="B138" s="19">
        <v>16000000</v>
      </c>
      <c r="C138" s="19">
        <v>16010000</v>
      </c>
      <c r="D138" s="19">
        <v>16005000</v>
      </c>
      <c r="E138" s="20">
        <v>16.004999999999999</v>
      </c>
      <c r="F138" s="21">
        <v>0.41910586</v>
      </c>
      <c r="G138" s="22">
        <v>450</v>
      </c>
      <c r="H138" s="23"/>
    </row>
    <row r="139" spans="1:8" x14ac:dyDescent="0.3">
      <c r="A139" s="18" t="s">
        <v>46</v>
      </c>
      <c r="B139" s="19">
        <v>16010000</v>
      </c>
      <c r="C139" s="19">
        <v>16020000</v>
      </c>
      <c r="D139" s="19">
        <v>16015000</v>
      </c>
      <c r="E139" s="20">
        <v>16.015000000000001</v>
      </c>
      <c r="F139" s="21">
        <v>0</v>
      </c>
      <c r="G139" s="22">
        <v>460</v>
      </c>
      <c r="H139" s="23"/>
    </row>
    <row r="140" spans="1:8" x14ac:dyDescent="0.3">
      <c r="A140" s="18" t="s">
        <v>46</v>
      </c>
      <c r="B140" s="19">
        <v>16020000</v>
      </c>
      <c r="C140" s="19">
        <v>16030000</v>
      </c>
      <c r="D140" s="19">
        <v>16025000</v>
      </c>
      <c r="E140" s="20">
        <v>16.024999999999999</v>
      </c>
      <c r="F140" s="21">
        <v>0.44996116000000003</v>
      </c>
      <c r="G140" s="22">
        <v>470</v>
      </c>
      <c r="H140" s="23"/>
    </row>
    <row r="141" spans="1:8" x14ac:dyDescent="0.3">
      <c r="A141" s="18" t="s">
        <v>46</v>
      </c>
      <c r="B141" s="19">
        <v>16030000</v>
      </c>
      <c r="C141" s="19">
        <v>16040000</v>
      </c>
      <c r="D141" s="19">
        <v>16035000</v>
      </c>
      <c r="E141" s="20">
        <v>16.035</v>
      </c>
      <c r="F141" s="21">
        <v>0.71213850000000001</v>
      </c>
      <c r="G141" s="22">
        <v>480</v>
      </c>
      <c r="H141" s="23"/>
    </row>
    <row r="142" spans="1:8" x14ac:dyDescent="0.3">
      <c r="A142" s="18" t="s">
        <v>46</v>
      </c>
      <c r="B142" s="19">
        <v>16040000</v>
      </c>
      <c r="C142" s="19">
        <v>16050000</v>
      </c>
      <c r="D142" s="19">
        <v>16045000</v>
      </c>
      <c r="E142" s="20">
        <v>16.045000000000002</v>
      </c>
      <c r="F142" s="21">
        <v>0</v>
      </c>
      <c r="G142" s="22">
        <v>490</v>
      </c>
      <c r="H142" s="23"/>
    </row>
    <row r="143" spans="1:8" x14ac:dyDescent="0.3">
      <c r="A143" s="18" t="s">
        <v>46</v>
      </c>
      <c r="B143" s="19">
        <v>16050000</v>
      </c>
      <c r="C143" s="19">
        <v>16060000</v>
      </c>
      <c r="D143" s="19">
        <v>16055000</v>
      </c>
      <c r="E143" s="20">
        <v>16.055</v>
      </c>
      <c r="F143" s="21">
        <v>0</v>
      </c>
      <c r="G143" s="22">
        <v>500</v>
      </c>
      <c r="H143" s="23"/>
    </row>
    <row r="144" spans="1:8" x14ac:dyDescent="0.3">
      <c r="A144" s="18" t="s">
        <v>46</v>
      </c>
      <c r="B144" s="19">
        <v>16060000</v>
      </c>
      <c r="C144" s="19">
        <v>16070000</v>
      </c>
      <c r="D144" s="19">
        <v>16065000</v>
      </c>
      <c r="E144" s="20">
        <v>16.065000000000001</v>
      </c>
      <c r="F144" s="21">
        <v>1.0306869999999999</v>
      </c>
      <c r="G144" s="22">
        <v>510</v>
      </c>
      <c r="H144" s="23"/>
    </row>
    <row r="145" spans="1:8" x14ac:dyDescent="0.3">
      <c r="A145" s="18" t="s">
        <v>46</v>
      </c>
      <c r="B145" s="19">
        <v>16070000</v>
      </c>
      <c r="C145" s="19">
        <v>16080000</v>
      </c>
      <c r="D145" s="19">
        <v>16075000</v>
      </c>
      <c r="E145" s="20">
        <v>16.074999999999999</v>
      </c>
      <c r="F145" s="21">
        <v>0.36089664999999999</v>
      </c>
      <c r="G145" s="22">
        <v>520</v>
      </c>
      <c r="H145" s="23"/>
    </row>
    <row r="146" spans="1:8" x14ac:dyDescent="0.3">
      <c r="A146" s="18" t="s">
        <v>46</v>
      </c>
      <c r="B146" s="19">
        <v>16080000</v>
      </c>
      <c r="C146" s="19">
        <v>16090000</v>
      </c>
      <c r="D146" s="19">
        <v>16085000</v>
      </c>
      <c r="E146" s="20">
        <v>16.085000000000001</v>
      </c>
      <c r="F146" s="21">
        <v>0</v>
      </c>
      <c r="G146" s="22">
        <v>530</v>
      </c>
      <c r="H146" s="23"/>
    </row>
    <row r="147" spans="1:8" x14ac:dyDescent="0.3">
      <c r="A147" s="18" t="s">
        <v>46</v>
      </c>
      <c r="B147" s="19">
        <v>16090000</v>
      </c>
      <c r="C147" s="19">
        <v>16100000</v>
      </c>
      <c r="D147" s="19">
        <v>16095000</v>
      </c>
      <c r="E147" s="20">
        <v>16.094999999999999</v>
      </c>
      <c r="F147" s="21">
        <v>0.61456569999999999</v>
      </c>
      <c r="G147" s="22">
        <v>540</v>
      </c>
      <c r="H147" s="23"/>
    </row>
    <row r="148" spans="1:8" x14ac:dyDescent="0.3">
      <c r="A148" s="18" t="s">
        <v>46</v>
      </c>
      <c r="B148" s="19">
        <v>16100000</v>
      </c>
      <c r="C148" s="19">
        <v>16110000</v>
      </c>
      <c r="D148" s="19">
        <v>16105000</v>
      </c>
      <c r="E148" s="20">
        <v>16.105</v>
      </c>
      <c r="F148" s="21">
        <v>0.40816474000000003</v>
      </c>
      <c r="G148" s="22">
        <v>550</v>
      </c>
      <c r="H148" s="23"/>
    </row>
    <row r="150" spans="1:8" x14ac:dyDescent="0.3">
      <c r="A150" s="73" t="s">
        <v>86</v>
      </c>
      <c r="B150" s="61"/>
      <c r="C150" s="61"/>
      <c r="D150" s="61"/>
      <c r="E150" s="61"/>
      <c r="F150" s="61"/>
      <c r="G150" s="61"/>
      <c r="H150" s="61"/>
    </row>
    <row r="151" spans="1:8" x14ac:dyDescent="0.3">
      <c r="A151" s="72" t="s">
        <v>87</v>
      </c>
      <c r="B151" s="61"/>
      <c r="C151" s="61"/>
      <c r="D151" s="61"/>
      <c r="E151" s="61"/>
      <c r="F151" s="61"/>
      <c r="G151" s="61"/>
      <c r="H151" s="61"/>
    </row>
    <row r="152" spans="1:8" x14ac:dyDescent="0.3">
      <c r="A152" s="72" t="s">
        <v>88</v>
      </c>
      <c r="B152" s="61"/>
      <c r="C152" s="61"/>
      <c r="D152" s="61"/>
      <c r="E152" s="61"/>
      <c r="F152" s="61"/>
      <c r="G152" s="61"/>
      <c r="H152" s="61"/>
    </row>
    <row r="153" spans="1:8" x14ac:dyDescent="0.3">
      <c r="A153" s="72" t="s">
        <v>89</v>
      </c>
      <c r="B153" s="61"/>
      <c r="C153" s="61"/>
      <c r="D153" s="61"/>
      <c r="E153" s="61"/>
      <c r="F153" s="61"/>
      <c r="G153" s="61"/>
      <c r="H153" s="61"/>
    </row>
    <row r="154" spans="1:8" x14ac:dyDescent="0.3">
      <c r="A154" s="72" t="s">
        <v>90</v>
      </c>
      <c r="B154" s="61"/>
      <c r="C154" s="61"/>
      <c r="D154" s="61"/>
      <c r="E154" s="61"/>
      <c r="F154" s="61"/>
      <c r="G154" s="61"/>
      <c r="H154" s="61"/>
    </row>
    <row r="155" spans="1:8" x14ac:dyDescent="0.3">
      <c r="A155" s="72" t="s">
        <v>91</v>
      </c>
      <c r="B155" s="61"/>
      <c r="C155" s="61"/>
      <c r="D155" s="61"/>
      <c r="E155" s="61"/>
      <c r="F155" s="61"/>
      <c r="G155" s="61"/>
      <c r="H155" s="61"/>
    </row>
  </sheetData>
  <mergeCells count="20">
    <mergeCell ref="A1:H1"/>
    <mergeCell ref="A6:B6"/>
    <mergeCell ref="A153:H153"/>
    <mergeCell ref="A7:B7"/>
    <mergeCell ref="C8:H8"/>
    <mergeCell ref="A3:B3"/>
    <mergeCell ref="C7:H7"/>
    <mergeCell ref="A155:H155"/>
    <mergeCell ref="A154:H154"/>
    <mergeCell ref="A2:H2"/>
    <mergeCell ref="A5:B5"/>
    <mergeCell ref="A151:H151"/>
    <mergeCell ref="C3:H3"/>
    <mergeCell ref="A150:H150"/>
    <mergeCell ref="A8:B8"/>
    <mergeCell ref="A4:B4"/>
    <mergeCell ref="C6:H6"/>
    <mergeCell ref="C5:H5"/>
    <mergeCell ref="A152:H152"/>
    <mergeCell ref="C4:H4"/>
  </mergeCells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6"/>
  <sheetViews>
    <sheetView workbookViewId="0">
      <pane ySplit="3" topLeftCell="A4" activePane="bottomLeft" state="frozen"/>
      <selection pane="bottomLeft" sqref="A1:F1"/>
    </sheetView>
  </sheetViews>
  <sheetFormatPr defaultRowHeight="14.4" x14ac:dyDescent="0.3"/>
  <cols>
    <col min="1" max="1" width="10" customWidth="1"/>
    <col min="2" max="4" width="14" customWidth="1"/>
    <col min="5" max="5" width="24" customWidth="1"/>
    <col min="6" max="6" width="12" customWidth="1"/>
  </cols>
  <sheetData>
    <row r="1" spans="1:6" ht="42" customHeight="1" x14ac:dyDescent="0.3">
      <c r="A1" s="75" t="s">
        <v>92</v>
      </c>
      <c r="B1" s="61"/>
      <c r="C1" s="61"/>
      <c r="D1" s="61"/>
      <c r="E1" s="61"/>
      <c r="F1" s="61"/>
    </row>
    <row r="3" spans="1:6" x14ac:dyDescent="0.3">
      <c r="A3" s="17" t="s">
        <v>93</v>
      </c>
      <c r="B3" s="17" t="s">
        <v>94</v>
      </c>
      <c r="C3" s="17" t="s">
        <v>95</v>
      </c>
      <c r="D3" s="17" t="s">
        <v>96</v>
      </c>
      <c r="E3" s="17" t="s">
        <v>97</v>
      </c>
      <c r="F3" s="17" t="s">
        <v>39</v>
      </c>
    </row>
    <row r="4" spans="1:6" x14ac:dyDescent="0.3">
      <c r="A4" s="18" t="s">
        <v>46</v>
      </c>
      <c r="B4" s="19">
        <v>15653622</v>
      </c>
      <c r="C4" s="19">
        <v>15658878</v>
      </c>
      <c r="D4" s="19">
        <v>15656250</v>
      </c>
      <c r="E4" s="18" t="s">
        <v>13</v>
      </c>
      <c r="F4" s="18" t="s">
        <v>10</v>
      </c>
    </row>
    <row r="5" spans="1:6" x14ac:dyDescent="0.3">
      <c r="A5" s="18" t="s">
        <v>46</v>
      </c>
      <c r="B5" s="19">
        <v>15702321</v>
      </c>
      <c r="C5" s="19">
        <v>15703021</v>
      </c>
      <c r="D5" s="19">
        <v>15702671</v>
      </c>
      <c r="E5" s="18" t="s">
        <v>12</v>
      </c>
      <c r="F5" s="18" t="s">
        <v>10</v>
      </c>
    </row>
    <row r="6" spans="1:6" x14ac:dyDescent="0.3">
      <c r="A6" s="18" t="s">
        <v>46</v>
      </c>
      <c r="B6" s="19">
        <v>15641176</v>
      </c>
      <c r="C6" s="19">
        <v>15642295</v>
      </c>
      <c r="D6" s="19">
        <v>15641735</v>
      </c>
      <c r="E6" s="18" t="s">
        <v>85</v>
      </c>
      <c r="F6" s="18" t="s">
        <v>10</v>
      </c>
    </row>
    <row r="7" spans="1:6" x14ac:dyDescent="0.3">
      <c r="A7" s="18" t="s">
        <v>46</v>
      </c>
      <c r="B7" s="19">
        <v>15712795</v>
      </c>
      <c r="C7" s="19">
        <v>15713408</v>
      </c>
      <c r="D7" s="19">
        <v>15713101</v>
      </c>
      <c r="E7" s="18" t="s">
        <v>11</v>
      </c>
      <c r="F7" s="18" t="s">
        <v>10</v>
      </c>
    </row>
    <row r="8" spans="1:6" x14ac:dyDescent="0.3">
      <c r="A8" s="18" t="s">
        <v>46</v>
      </c>
      <c r="B8" s="19">
        <v>15798348</v>
      </c>
      <c r="C8" s="19">
        <v>15798773</v>
      </c>
      <c r="D8" s="19">
        <v>15798560</v>
      </c>
      <c r="E8" s="18" t="s">
        <v>15</v>
      </c>
      <c r="F8" s="18" t="s">
        <v>10</v>
      </c>
    </row>
    <row r="9" spans="1:6" x14ac:dyDescent="0.3">
      <c r="A9" s="18" t="s">
        <v>46</v>
      </c>
      <c r="B9" s="19">
        <v>15750053</v>
      </c>
      <c r="C9" s="19">
        <v>15750743</v>
      </c>
      <c r="D9" s="19">
        <v>15750398</v>
      </c>
      <c r="E9" s="18" t="s">
        <v>14</v>
      </c>
      <c r="F9" s="18" t="s">
        <v>10</v>
      </c>
    </row>
    <row r="10" spans="1:6" x14ac:dyDescent="0.3">
      <c r="A10" s="18" t="s">
        <v>46</v>
      </c>
      <c r="B10" s="19">
        <v>15526372</v>
      </c>
      <c r="C10" s="19">
        <v>15527888</v>
      </c>
      <c r="D10" s="19">
        <v>15527130</v>
      </c>
      <c r="E10" s="18" t="s">
        <v>23</v>
      </c>
      <c r="F10" s="18" t="s">
        <v>17</v>
      </c>
    </row>
    <row r="11" spans="1:6" x14ac:dyDescent="0.3">
      <c r="A11" s="18" t="s">
        <v>46</v>
      </c>
      <c r="B11" s="19">
        <v>15263527</v>
      </c>
      <c r="C11" s="19">
        <v>15268715</v>
      </c>
      <c r="D11" s="19">
        <v>15266121</v>
      </c>
      <c r="E11" s="18" t="s">
        <v>21</v>
      </c>
      <c r="F11" s="18" t="s">
        <v>17</v>
      </c>
    </row>
    <row r="12" spans="1:6" x14ac:dyDescent="0.3">
      <c r="A12" s="18" t="s">
        <v>46</v>
      </c>
      <c r="B12" s="19">
        <v>15525717</v>
      </c>
      <c r="C12" s="19">
        <v>15530984</v>
      </c>
      <c r="D12" s="19">
        <v>15528350</v>
      </c>
      <c r="E12" s="18" t="s">
        <v>22</v>
      </c>
      <c r="F12" s="18" t="s">
        <v>17</v>
      </c>
    </row>
    <row r="13" spans="1:6" x14ac:dyDescent="0.3">
      <c r="A13" s="18" t="s">
        <v>46</v>
      </c>
      <c r="B13" s="19">
        <v>15538380</v>
      </c>
      <c r="C13" s="19">
        <v>15543779</v>
      </c>
      <c r="D13" s="19">
        <v>15541079</v>
      </c>
      <c r="E13" s="18" t="s">
        <v>16</v>
      </c>
      <c r="F13" s="18" t="s">
        <v>17</v>
      </c>
    </row>
    <row r="14" spans="1:6" x14ac:dyDescent="0.3">
      <c r="A14" s="18" t="s">
        <v>46</v>
      </c>
      <c r="B14" s="19">
        <v>14811027</v>
      </c>
      <c r="C14" s="19">
        <v>14816277</v>
      </c>
      <c r="D14" s="19">
        <v>14813652</v>
      </c>
      <c r="E14" s="18" t="s">
        <v>19</v>
      </c>
      <c r="F14" s="18" t="s">
        <v>17</v>
      </c>
    </row>
    <row r="15" spans="1:6" x14ac:dyDescent="0.3">
      <c r="A15" s="18" t="s">
        <v>46</v>
      </c>
      <c r="B15" s="19">
        <v>15313567</v>
      </c>
      <c r="C15" s="19">
        <v>15319187</v>
      </c>
      <c r="D15" s="19">
        <v>15316377</v>
      </c>
      <c r="E15" s="18" t="s">
        <v>18</v>
      </c>
      <c r="F15" s="18" t="s">
        <v>17</v>
      </c>
    </row>
    <row r="16" spans="1:6" x14ac:dyDescent="0.3">
      <c r="A16" s="24" t="s">
        <v>46</v>
      </c>
      <c r="B16" s="25">
        <v>14932944</v>
      </c>
      <c r="C16" s="25">
        <v>14938401</v>
      </c>
      <c r="D16" s="25">
        <v>14935672</v>
      </c>
      <c r="E16" s="24" t="s">
        <v>20</v>
      </c>
      <c r="F16" s="24" t="s">
        <v>17</v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30"/>
  <sheetViews>
    <sheetView topLeftCell="A8" workbookViewId="0">
      <selection activeCell="B33" sqref="B33"/>
    </sheetView>
  </sheetViews>
  <sheetFormatPr defaultRowHeight="14.4" x14ac:dyDescent="0.3"/>
  <cols>
    <col min="1" max="1" width="24" customWidth="1"/>
    <col min="2" max="2" width="10" customWidth="1"/>
    <col min="3" max="4" width="12" customWidth="1"/>
    <col min="5" max="5" width="11" customWidth="1"/>
    <col min="6" max="8" width="14" customWidth="1"/>
    <col min="9" max="9" width="16" customWidth="1"/>
    <col min="10" max="11" width="17" customWidth="1"/>
    <col min="12" max="12" width="15" customWidth="1"/>
    <col min="13" max="13" width="18" customWidth="1"/>
    <col min="14" max="14" width="14" customWidth="1"/>
    <col min="15" max="15" width="20" customWidth="1"/>
    <col min="16" max="16" width="12" customWidth="1"/>
    <col min="17" max="17" width="70" customWidth="1"/>
  </cols>
  <sheetData>
    <row r="1" spans="1:17" ht="22.35" customHeight="1" x14ac:dyDescent="0.3">
      <c r="A1" s="75" t="s">
        <v>98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</row>
    <row r="2" spans="1:17" ht="17.55" customHeight="1" x14ac:dyDescent="0.3">
      <c r="A2" s="64" t="s">
        <v>99</v>
      </c>
      <c r="B2" s="61"/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</row>
    <row r="3" spans="1:17" ht="32.4" customHeight="1" x14ac:dyDescent="0.3">
      <c r="A3" s="77" t="s">
        <v>100</v>
      </c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</row>
    <row r="4" spans="1:17" ht="28.8" customHeight="1" x14ac:dyDescent="0.3">
      <c r="A4" s="26" t="s">
        <v>101</v>
      </c>
      <c r="B4" s="26" t="s">
        <v>102</v>
      </c>
      <c r="C4" s="26" t="s">
        <v>103</v>
      </c>
      <c r="D4" s="26" t="s">
        <v>104</v>
      </c>
      <c r="E4" s="26" t="s">
        <v>105</v>
      </c>
      <c r="F4" s="26" t="s">
        <v>106</v>
      </c>
      <c r="G4" s="26" t="s">
        <v>107</v>
      </c>
      <c r="H4" s="26" t="s">
        <v>108</v>
      </c>
      <c r="I4" s="26" t="s">
        <v>109</v>
      </c>
      <c r="J4" s="26" t="s">
        <v>110</v>
      </c>
      <c r="K4" s="26" t="s">
        <v>111</v>
      </c>
      <c r="L4" s="26" t="s">
        <v>112</v>
      </c>
      <c r="M4" s="26" t="s">
        <v>113</v>
      </c>
      <c r="N4" s="26" t="s">
        <v>114</v>
      </c>
      <c r="O4" s="26" t="s">
        <v>115</v>
      </c>
      <c r="P4" s="26" t="s">
        <v>116</v>
      </c>
      <c r="Q4" s="26" t="s">
        <v>117</v>
      </c>
    </row>
    <row r="5" spans="1:17" ht="30.45" customHeight="1" x14ac:dyDescent="0.3">
      <c r="A5" s="27" t="s">
        <v>9</v>
      </c>
      <c r="B5" s="28" t="s">
        <v>46</v>
      </c>
      <c r="C5" s="29">
        <v>15549343</v>
      </c>
      <c r="D5" s="29">
        <v>15550462</v>
      </c>
      <c r="E5" s="29">
        <f t="shared" ref="E5:E17" si="0">D5-C5</f>
        <v>1119</v>
      </c>
      <c r="F5" s="30">
        <v>0.83333299999999999</v>
      </c>
      <c r="G5" s="30">
        <v>1</v>
      </c>
      <c r="H5" s="30">
        <v>0.95833299999999999</v>
      </c>
      <c r="I5" s="31">
        <f t="shared" ref="I5:I17" si="1">IF(F5&gt;=0.67,1,0)</f>
        <v>1</v>
      </c>
      <c r="J5" s="31">
        <f t="shared" ref="J5:J17" si="2">IF(G5&gt;=0.67,1,0)</f>
        <v>1</v>
      </c>
      <c r="K5" s="31">
        <f t="shared" ref="K5:K17" si="3">IF(H5&gt;=0.67,1,0)</f>
        <v>1</v>
      </c>
      <c r="L5" s="31">
        <f t="shared" ref="L5:L17" si="4">SUM(I5:K5)</f>
        <v>3</v>
      </c>
      <c r="M5" s="30">
        <f t="shared" ref="M5:M17" si="5">AVERAGE(F5:H5)</f>
        <v>0.9305553333333334</v>
      </c>
      <c r="N5" s="30">
        <f t="shared" ref="N5:N17" si="6">L5/3</f>
        <v>1</v>
      </c>
      <c r="O5" s="32">
        <f t="shared" ref="O5:O17" si="7">0.75*M5+0.25*N5</f>
        <v>0.94791650000000005</v>
      </c>
      <c r="P5" s="31" t="str">
        <f t="shared" ref="P5:P17" si="8">IF(AND(O5&gt;=0.7,L5&gt;=2),"Tier A",IF(OR(O5&gt;=0.45,L5&gt;=1),"Tier B","Tier C"))</f>
        <v>Tier A</v>
      </c>
      <c r="Q5" s="27" t="s">
        <v>118</v>
      </c>
    </row>
    <row r="6" spans="1:17" ht="17.55" customHeight="1" x14ac:dyDescent="0.3">
      <c r="A6" s="27" t="s">
        <v>12</v>
      </c>
      <c r="B6" s="28" t="s">
        <v>46</v>
      </c>
      <c r="C6" s="29">
        <v>15610488</v>
      </c>
      <c r="D6" s="29">
        <v>15611188</v>
      </c>
      <c r="E6" s="29">
        <f t="shared" si="0"/>
        <v>700</v>
      </c>
      <c r="F6" s="30">
        <v>1</v>
      </c>
      <c r="G6" s="30">
        <v>0.91666700000000001</v>
      </c>
      <c r="H6" s="30">
        <v>0.79166700000000001</v>
      </c>
      <c r="I6" s="31">
        <f t="shared" si="1"/>
        <v>1</v>
      </c>
      <c r="J6" s="31">
        <f t="shared" si="2"/>
        <v>1</v>
      </c>
      <c r="K6" s="31">
        <f t="shared" si="3"/>
        <v>1</v>
      </c>
      <c r="L6" s="31">
        <f t="shared" si="4"/>
        <v>3</v>
      </c>
      <c r="M6" s="30">
        <f t="shared" si="5"/>
        <v>0.90277799999999997</v>
      </c>
      <c r="N6" s="30">
        <f t="shared" si="6"/>
        <v>1</v>
      </c>
      <c r="O6" s="32">
        <f t="shared" si="7"/>
        <v>0.92708349999999995</v>
      </c>
      <c r="P6" s="31" t="str">
        <f t="shared" si="8"/>
        <v>Tier A</v>
      </c>
      <c r="Q6" s="27"/>
    </row>
    <row r="7" spans="1:17" ht="17.55" customHeight="1" x14ac:dyDescent="0.3">
      <c r="A7" s="27" t="s">
        <v>13</v>
      </c>
      <c r="B7" s="28" t="s">
        <v>46</v>
      </c>
      <c r="C7" s="29">
        <v>15561789</v>
      </c>
      <c r="D7" s="29">
        <v>15567045</v>
      </c>
      <c r="E7" s="29">
        <f t="shared" si="0"/>
        <v>5256</v>
      </c>
      <c r="F7" s="30">
        <v>0.66666700000000001</v>
      </c>
      <c r="G7" s="30">
        <v>0.75</v>
      </c>
      <c r="H7" s="30">
        <v>0.75</v>
      </c>
      <c r="I7" s="31">
        <f t="shared" si="1"/>
        <v>0</v>
      </c>
      <c r="J7" s="31">
        <f t="shared" si="2"/>
        <v>1</v>
      </c>
      <c r="K7" s="31">
        <f t="shared" si="3"/>
        <v>1</v>
      </c>
      <c r="L7" s="31">
        <f t="shared" si="4"/>
        <v>2</v>
      </c>
      <c r="M7" s="30">
        <f t="shared" si="5"/>
        <v>0.7222223333333333</v>
      </c>
      <c r="N7" s="30">
        <f t="shared" si="6"/>
        <v>0.66666666666666663</v>
      </c>
      <c r="O7" s="32">
        <f t="shared" si="7"/>
        <v>0.7083334166666666</v>
      </c>
      <c r="P7" s="31" t="str">
        <f t="shared" si="8"/>
        <v>Tier A</v>
      </c>
      <c r="Q7" s="27"/>
    </row>
    <row r="8" spans="1:17" ht="17.55" customHeight="1" x14ac:dyDescent="0.3">
      <c r="A8" s="27" t="s">
        <v>15</v>
      </c>
      <c r="B8" s="28" t="s">
        <v>46</v>
      </c>
      <c r="C8" s="29">
        <v>15706515</v>
      </c>
      <c r="D8" s="29">
        <v>15706940</v>
      </c>
      <c r="E8" s="29">
        <f t="shared" si="0"/>
        <v>425</v>
      </c>
      <c r="F8" s="30">
        <v>0.91666700000000001</v>
      </c>
      <c r="G8" s="30">
        <v>0.625</v>
      </c>
      <c r="H8" s="30">
        <v>0.52083299999999999</v>
      </c>
      <c r="I8" s="31">
        <f t="shared" si="1"/>
        <v>1</v>
      </c>
      <c r="J8" s="31">
        <f t="shared" si="2"/>
        <v>0</v>
      </c>
      <c r="K8" s="31">
        <f t="shared" si="3"/>
        <v>0</v>
      </c>
      <c r="L8" s="31">
        <f t="shared" si="4"/>
        <v>1</v>
      </c>
      <c r="M8" s="30">
        <f t="shared" si="5"/>
        <v>0.6875</v>
      </c>
      <c r="N8" s="30">
        <f t="shared" si="6"/>
        <v>0.33333333333333331</v>
      </c>
      <c r="O8" s="32">
        <f t="shared" si="7"/>
        <v>0.59895833333333337</v>
      </c>
      <c r="P8" s="31" t="str">
        <f t="shared" si="8"/>
        <v>Tier B</v>
      </c>
      <c r="Q8" s="27"/>
    </row>
    <row r="9" spans="1:17" ht="17.55" customHeight="1" x14ac:dyDescent="0.3">
      <c r="A9" s="27" t="s">
        <v>18</v>
      </c>
      <c r="B9" s="28" t="s">
        <v>46</v>
      </c>
      <c r="C9" s="29">
        <v>15221300</v>
      </c>
      <c r="D9" s="29">
        <v>15226920</v>
      </c>
      <c r="E9" s="29">
        <f t="shared" si="0"/>
        <v>5620</v>
      </c>
      <c r="F9" s="30">
        <v>0.75</v>
      </c>
      <c r="G9" s="30">
        <v>0.375</v>
      </c>
      <c r="H9" s="30">
        <v>0.58333299999999999</v>
      </c>
      <c r="I9" s="31">
        <f t="shared" si="1"/>
        <v>1</v>
      </c>
      <c r="J9" s="31">
        <f t="shared" si="2"/>
        <v>0</v>
      </c>
      <c r="K9" s="31">
        <f t="shared" si="3"/>
        <v>0</v>
      </c>
      <c r="L9" s="31">
        <f t="shared" si="4"/>
        <v>1</v>
      </c>
      <c r="M9" s="30">
        <f t="shared" si="5"/>
        <v>0.56944433333333333</v>
      </c>
      <c r="N9" s="30">
        <f t="shared" si="6"/>
        <v>0.33333333333333331</v>
      </c>
      <c r="O9" s="32">
        <f t="shared" si="7"/>
        <v>0.5104165833333334</v>
      </c>
      <c r="P9" s="31" t="str">
        <f t="shared" si="8"/>
        <v>Tier B</v>
      </c>
      <c r="Q9" s="27"/>
    </row>
    <row r="10" spans="1:17" ht="17.55" customHeight="1" x14ac:dyDescent="0.3">
      <c r="A10" s="27" t="s">
        <v>20</v>
      </c>
      <c r="B10" s="28" t="s">
        <v>46</v>
      </c>
      <c r="C10" s="29">
        <v>14840677</v>
      </c>
      <c r="D10" s="29">
        <v>14846134</v>
      </c>
      <c r="E10" s="29">
        <f t="shared" si="0"/>
        <v>5457</v>
      </c>
      <c r="F10" s="30">
        <v>0.33333299999999999</v>
      </c>
      <c r="G10" s="30">
        <v>0.16666700000000001</v>
      </c>
      <c r="H10" s="30">
        <v>0.83333299999999999</v>
      </c>
      <c r="I10" s="31">
        <f t="shared" si="1"/>
        <v>0</v>
      </c>
      <c r="J10" s="31">
        <f t="shared" si="2"/>
        <v>0</v>
      </c>
      <c r="K10" s="31">
        <f t="shared" si="3"/>
        <v>1</v>
      </c>
      <c r="L10" s="31">
        <f t="shared" si="4"/>
        <v>1</v>
      </c>
      <c r="M10" s="30">
        <f t="shared" si="5"/>
        <v>0.44444433333333339</v>
      </c>
      <c r="N10" s="30">
        <f t="shared" si="6"/>
        <v>0.33333333333333331</v>
      </c>
      <c r="O10" s="32">
        <f t="shared" si="7"/>
        <v>0.41666658333333334</v>
      </c>
      <c r="P10" s="31" t="str">
        <f t="shared" si="8"/>
        <v>Tier B</v>
      </c>
      <c r="Q10" s="27"/>
    </row>
    <row r="11" spans="1:17" ht="17.55" customHeight="1" x14ac:dyDescent="0.3">
      <c r="A11" s="27" t="s">
        <v>16</v>
      </c>
      <c r="B11" s="28" t="s">
        <v>46</v>
      </c>
      <c r="C11" s="29">
        <v>15446547</v>
      </c>
      <c r="D11" s="29">
        <v>15451946</v>
      </c>
      <c r="E11" s="29">
        <f t="shared" si="0"/>
        <v>5399</v>
      </c>
      <c r="F11" s="30">
        <v>0.58333299999999999</v>
      </c>
      <c r="G11" s="30">
        <v>0.5</v>
      </c>
      <c r="H11" s="30">
        <v>0.41666700000000001</v>
      </c>
      <c r="I11" s="31">
        <f t="shared" si="1"/>
        <v>0</v>
      </c>
      <c r="J11" s="31">
        <f t="shared" si="2"/>
        <v>0</v>
      </c>
      <c r="K11" s="31">
        <f t="shared" si="3"/>
        <v>0</v>
      </c>
      <c r="L11" s="31">
        <f t="shared" si="4"/>
        <v>0</v>
      </c>
      <c r="M11" s="30">
        <f t="shared" si="5"/>
        <v>0.5</v>
      </c>
      <c r="N11" s="30">
        <f t="shared" si="6"/>
        <v>0</v>
      </c>
      <c r="O11" s="32">
        <f t="shared" si="7"/>
        <v>0.375</v>
      </c>
      <c r="P11" s="31" t="str">
        <f t="shared" si="8"/>
        <v>Tier C</v>
      </c>
      <c r="Q11" s="27"/>
    </row>
    <row r="12" spans="1:17" ht="15.6" customHeight="1" x14ac:dyDescent="0.3">
      <c r="A12" s="27" t="s">
        <v>11</v>
      </c>
      <c r="B12" s="28" t="s">
        <v>46</v>
      </c>
      <c r="C12" s="29">
        <v>15620962</v>
      </c>
      <c r="D12" s="29">
        <v>15621575</v>
      </c>
      <c r="E12" s="29">
        <f t="shared" si="0"/>
        <v>613</v>
      </c>
      <c r="F12" s="30">
        <v>0.25</v>
      </c>
      <c r="G12" s="30">
        <v>0.83333299999999999</v>
      </c>
      <c r="H12" s="30">
        <v>2.0833000000000001E-2</v>
      </c>
      <c r="I12" s="31">
        <f t="shared" si="1"/>
        <v>0</v>
      </c>
      <c r="J12" s="31">
        <f t="shared" si="2"/>
        <v>1</v>
      </c>
      <c r="K12" s="31">
        <f t="shared" si="3"/>
        <v>0</v>
      </c>
      <c r="L12" s="31">
        <f t="shared" si="4"/>
        <v>1</v>
      </c>
      <c r="M12" s="30">
        <f t="shared" si="5"/>
        <v>0.3680553333333334</v>
      </c>
      <c r="N12" s="30">
        <f t="shared" si="6"/>
        <v>0.33333333333333331</v>
      </c>
      <c r="O12" s="32">
        <f t="shared" si="7"/>
        <v>0.35937483333333337</v>
      </c>
      <c r="P12" s="31" t="str">
        <f t="shared" si="8"/>
        <v>Tier B</v>
      </c>
      <c r="Q12" s="27" t="s">
        <v>119</v>
      </c>
    </row>
    <row r="13" spans="1:17" ht="17.55" customHeight="1" x14ac:dyDescent="0.3">
      <c r="A13" s="27" t="s">
        <v>21</v>
      </c>
      <c r="B13" s="28" t="s">
        <v>46</v>
      </c>
      <c r="C13" s="29">
        <v>15171260</v>
      </c>
      <c r="D13" s="29">
        <v>15176448</v>
      </c>
      <c r="E13" s="29">
        <f t="shared" si="0"/>
        <v>5188</v>
      </c>
      <c r="F13" s="30">
        <v>0.5</v>
      </c>
      <c r="G13" s="30">
        <v>0.375</v>
      </c>
      <c r="H13" s="30">
        <v>0.41666700000000001</v>
      </c>
      <c r="I13" s="31">
        <f t="shared" si="1"/>
        <v>0</v>
      </c>
      <c r="J13" s="31">
        <f t="shared" si="2"/>
        <v>0</v>
      </c>
      <c r="K13" s="31">
        <f t="shared" si="3"/>
        <v>0</v>
      </c>
      <c r="L13" s="31">
        <f t="shared" si="4"/>
        <v>0</v>
      </c>
      <c r="M13" s="30">
        <f t="shared" si="5"/>
        <v>0.43055566666666661</v>
      </c>
      <c r="N13" s="30">
        <f t="shared" si="6"/>
        <v>0</v>
      </c>
      <c r="O13" s="32">
        <f t="shared" si="7"/>
        <v>0.32291674999999997</v>
      </c>
      <c r="P13" s="31" t="str">
        <f t="shared" si="8"/>
        <v>Tier C</v>
      </c>
      <c r="Q13" s="27"/>
    </row>
    <row r="14" spans="1:17" ht="17.55" customHeight="1" x14ac:dyDescent="0.3">
      <c r="A14" s="27" t="s">
        <v>19</v>
      </c>
      <c r="B14" s="28" t="s">
        <v>46</v>
      </c>
      <c r="C14" s="29">
        <v>14718760</v>
      </c>
      <c r="D14" s="29">
        <v>14724010</v>
      </c>
      <c r="E14" s="29">
        <f t="shared" si="0"/>
        <v>5250</v>
      </c>
      <c r="F14" s="30">
        <v>0.41666700000000001</v>
      </c>
      <c r="G14" s="30">
        <v>0.25</v>
      </c>
      <c r="H14" s="30">
        <v>0.58333299999999999</v>
      </c>
      <c r="I14" s="31">
        <f t="shared" si="1"/>
        <v>0</v>
      </c>
      <c r="J14" s="31">
        <f t="shared" si="2"/>
        <v>0</v>
      </c>
      <c r="K14" s="31">
        <f t="shared" si="3"/>
        <v>0</v>
      </c>
      <c r="L14" s="31">
        <f t="shared" si="4"/>
        <v>0</v>
      </c>
      <c r="M14" s="30">
        <f t="shared" si="5"/>
        <v>0.41666666666666669</v>
      </c>
      <c r="N14" s="30">
        <f t="shared" si="6"/>
        <v>0</v>
      </c>
      <c r="O14" s="32">
        <f t="shared" si="7"/>
        <v>0.3125</v>
      </c>
      <c r="P14" s="31" t="str">
        <f t="shared" si="8"/>
        <v>Tier C</v>
      </c>
      <c r="Q14" s="27"/>
    </row>
    <row r="15" spans="1:17" ht="17.55" customHeight="1" x14ac:dyDescent="0.3">
      <c r="A15" s="27" t="s">
        <v>14</v>
      </c>
      <c r="B15" s="28" t="s">
        <v>46</v>
      </c>
      <c r="C15" s="29">
        <v>15658220</v>
      </c>
      <c r="D15" s="29">
        <v>15658910</v>
      </c>
      <c r="E15" s="29">
        <f t="shared" si="0"/>
        <v>690</v>
      </c>
      <c r="F15" s="30">
        <v>8.3333000000000004E-2</v>
      </c>
      <c r="G15" s="30">
        <v>0.625</v>
      </c>
      <c r="H15" s="30">
        <v>0.25</v>
      </c>
      <c r="I15" s="31">
        <f t="shared" si="1"/>
        <v>0</v>
      </c>
      <c r="J15" s="31">
        <f t="shared" si="2"/>
        <v>0</v>
      </c>
      <c r="K15" s="31">
        <f t="shared" si="3"/>
        <v>0</v>
      </c>
      <c r="L15" s="31">
        <f t="shared" si="4"/>
        <v>0</v>
      </c>
      <c r="M15" s="30">
        <f t="shared" si="5"/>
        <v>0.31944433333333333</v>
      </c>
      <c r="N15" s="30">
        <f t="shared" si="6"/>
        <v>0</v>
      </c>
      <c r="O15" s="32">
        <f t="shared" si="7"/>
        <v>0.23958325</v>
      </c>
      <c r="P15" s="31" t="str">
        <f t="shared" si="8"/>
        <v>Tier C</v>
      </c>
      <c r="Q15" s="27"/>
    </row>
    <row r="16" spans="1:17" ht="17.55" customHeight="1" x14ac:dyDescent="0.3">
      <c r="A16" s="27" t="s">
        <v>22</v>
      </c>
      <c r="B16" s="28" t="s">
        <v>46</v>
      </c>
      <c r="C16" s="29">
        <v>15433884</v>
      </c>
      <c r="D16" s="29">
        <v>15439151</v>
      </c>
      <c r="E16" s="29">
        <f t="shared" si="0"/>
        <v>5267</v>
      </c>
      <c r="F16" s="30">
        <v>8.3333000000000004E-2</v>
      </c>
      <c r="G16" s="30">
        <v>8.3333000000000004E-2</v>
      </c>
      <c r="H16" s="30">
        <v>0.25</v>
      </c>
      <c r="I16" s="31">
        <f t="shared" si="1"/>
        <v>0</v>
      </c>
      <c r="J16" s="31">
        <f t="shared" si="2"/>
        <v>0</v>
      </c>
      <c r="K16" s="31">
        <f t="shared" si="3"/>
        <v>0</v>
      </c>
      <c r="L16" s="31">
        <f t="shared" si="4"/>
        <v>0</v>
      </c>
      <c r="M16" s="30">
        <f t="shared" si="5"/>
        <v>0.13888866666666666</v>
      </c>
      <c r="N16" s="30">
        <f t="shared" si="6"/>
        <v>0</v>
      </c>
      <c r="O16" s="32">
        <f t="shared" si="7"/>
        <v>0.1041665</v>
      </c>
      <c r="P16" s="31" t="str">
        <f t="shared" si="8"/>
        <v>Tier C</v>
      </c>
      <c r="Q16" s="27"/>
    </row>
    <row r="17" spans="1:17" ht="18.600000000000001" customHeight="1" x14ac:dyDescent="0.3">
      <c r="A17" s="36" t="s">
        <v>23</v>
      </c>
      <c r="B17" s="37" t="s">
        <v>46</v>
      </c>
      <c r="C17" s="38">
        <v>15434539</v>
      </c>
      <c r="D17" s="38">
        <v>15436055</v>
      </c>
      <c r="E17" s="38">
        <f t="shared" si="0"/>
        <v>1516</v>
      </c>
      <c r="F17" s="39">
        <v>8.3333000000000004E-2</v>
      </c>
      <c r="G17" s="39">
        <v>0</v>
      </c>
      <c r="H17" s="39">
        <v>0.125</v>
      </c>
      <c r="I17" s="40">
        <f t="shared" si="1"/>
        <v>0</v>
      </c>
      <c r="J17" s="40">
        <f t="shared" si="2"/>
        <v>0</v>
      </c>
      <c r="K17" s="40">
        <f t="shared" si="3"/>
        <v>0</v>
      </c>
      <c r="L17" s="40">
        <f t="shared" si="4"/>
        <v>0</v>
      </c>
      <c r="M17" s="39">
        <f t="shared" si="5"/>
        <v>6.944433333333333E-2</v>
      </c>
      <c r="N17" s="39">
        <f t="shared" si="6"/>
        <v>0</v>
      </c>
      <c r="O17" s="41">
        <f t="shared" si="7"/>
        <v>5.2083249999999998E-2</v>
      </c>
      <c r="P17" s="40" t="str">
        <f t="shared" si="8"/>
        <v>Tier C</v>
      </c>
      <c r="Q17" s="36" t="s">
        <v>120</v>
      </c>
    </row>
    <row r="19" spans="1:17" ht="15.6" customHeight="1" x14ac:dyDescent="0.3">
      <c r="A19" s="76" t="s">
        <v>132</v>
      </c>
      <c r="B19" s="61"/>
      <c r="C19" s="61"/>
      <c r="D19" s="61"/>
      <c r="E19" s="61"/>
      <c r="F19" s="61"/>
      <c r="G19" s="61"/>
      <c r="H19" s="61"/>
      <c r="I19" s="61"/>
      <c r="J19" s="61"/>
      <c r="K19" s="61"/>
      <c r="L19" s="61"/>
      <c r="M19" s="61"/>
      <c r="N19" s="61"/>
      <c r="O19" s="61"/>
      <c r="P19" s="61"/>
      <c r="Q19" s="61"/>
    </row>
    <row r="20" spans="1:17" ht="12" customHeight="1" x14ac:dyDescent="0.3">
      <c r="A20" s="77" t="s">
        <v>121</v>
      </c>
      <c r="B20" s="61"/>
      <c r="C20" s="61"/>
      <c r="D20" s="61"/>
      <c r="E20" s="61"/>
      <c r="F20" s="61"/>
      <c r="G20" s="61"/>
      <c r="H20" s="61"/>
      <c r="I20" s="61"/>
      <c r="J20" s="61"/>
      <c r="K20" s="61"/>
      <c r="L20" s="61"/>
      <c r="M20" s="61"/>
      <c r="N20" s="61"/>
      <c r="O20" s="61"/>
      <c r="P20" s="61"/>
      <c r="Q20" s="61"/>
    </row>
    <row r="21" spans="1:17" ht="15" customHeight="1" x14ac:dyDescent="0.3">
      <c r="A21" s="77" t="s">
        <v>122</v>
      </c>
      <c r="B21" s="61"/>
      <c r="C21" s="61"/>
      <c r="D21" s="61"/>
      <c r="E21" s="61"/>
      <c r="F21" s="61"/>
      <c r="G21" s="61"/>
      <c r="H21" s="61"/>
      <c r="I21" s="61"/>
      <c r="J21" s="61"/>
      <c r="K21" s="61"/>
      <c r="L21" s="61"/>
      <c r="M21" s="61"/>
      <c r="N21" s="61"/>
      <c r="O21" s="61"/>
      <c r="P21" s="61"/>
      <c r="Q21" s="61"/>
    </row>
    <row r="22" spans="1:17" ht="15.6" customHeight="1" x14ac:dyDescent="0.3">
      <c r="A22" s="77" t="s">
        <v>123</v>
      </c>
      <c r="B22" s="61"/>
      <c r="C22" s="61"/>
      <c r="D22" s="61"/>
      <c r="E22" s="61"/>
      <c r="F22" s="61"/>
      <c r="G22" s="61"/>
      <c r="H22" s="61"/>
      <c r="I22" s="61"/>
      <c r="J22" s="61"/>
      <c r="K22" s="61"/>
      <c r="L22" s="61"/>
      <c r="M22" s="61"/>
      <c r="N22" s="61"/>
      <c r="O22" s="61"/>
      <c r="P22" s="61"/>
      <c r="Q22" s="61"/>
    </row>
    <row r="23" spans="1:17" ht="18" customHeight="1" x14ac:dyDescent="0.3">
      <c r="A23" s="77" t="s">
        <v>124</v>
      </c>
      <c r="B23" s="61"/>
      <c r="C23" s="61"/>
      <c r="D23" s="61"/>
      <c r="E23" s="61"/>
      <c r="F23" s="61"/>
      <c r="G23" s="61"/>
      <c r="H23" s="61"/>
      <c r="I23" s="61"/>
      <c r="J23" s="61"/>
      <c r="K23" s="61"/>
      <c r="L23" s="61"/>
      <c r="M23" s="61"/>
      <c r="N23" s="61"/>
      <c r="O23" s="61"/>
      <c r="P23" s="61"/>
      <c r="Q23" s="61"/>
    </row>
    <row r="24" spans="1:17" ht="17.399999999999999" customHeight="1" x14ac:dyDescent="0.3">
      <c r="A24" s="77" t="s">
        <v>125</v>
      </c>
      <c r="B24" s="61"/>
      <c r="C24" s="61"/>
      <c r="D24" s="61"/>
      <c r="E24" s="61"/>
      <c r="F24" s="61"/>
      <c r="G24" s="61"/>
      <c r="H24" s="61"/>
      <c r="I24" s="61"/>
      <c r="J24" s="61"/>
      <c r="K24" s="61"/>
      <c r="L24" s="61"/>
      <c r="M24" s="61"/>
      <c r="N24" s="61"/>
      <c r="O24" s="61"/>
      <c r="P24" s="61"/>
      <c r="Q24" s="61"/>
    </row>
    <row r="25" spans="1:17" ht="16.2" customHeight="1" x14ac:dyDescent="0.3">
      <c r="A25" s="77" t="s">
        <v>126</v>
      </c>
      <c r="B25" s="61"/>
      <c r="C25" s="61"/>
      <c r="D25" s="61"/>
      <c r="E25" s="61"/>
      <c r="F25" s="61"/>
      <c r="G25" s="61"/>
      <c r="H25" s="61"/>
      <c r="I25" s="61"/>
      <c r="J25" s="61"/>
      <c r="K25" s="61"/>
      <c r="L25" s="61"/>
      <c r="M25" s="61"/>
      <c r="N25" s="61"/>
      <c r="O25" s="61"/>
      <c r="P25" s="61"/>
      <c r="Q25" s="61"/>
    </row>
    <row r="26" spans="1:17" ht="18.600000000000001" customHeight="1" x14ac:dyDescent="0.3">
      <c r="A26" s="77" t="s">
        <v>127</v>
      </c>
      <c r="B26" s="61"/>
      <c r="C26" s="61"/>
      <c r="D26" s="61"/>
      <c r="E26" s="61"/>
      <c r="F26" s="61"/>
      <c r="G26" s="61"/>
      <c r="H26" s="61"/>
      <c r="I26" s="61"/>
      <c r="J26" s="61"/>
      <c r="K26" s="61"/>
      <c r="L26" s="61"/>
      <c r="M26" s="61"/>
      <c r="N26" s="61"/>
      <c r="O26" s="61"/>
      <c r="P26" s="61"/>
      <c r="Q26" s="61"/>
    </row>
    <row r="27" spans="1:17" ht="19.8" customHeight="1" x14ac:dyDescent="0.3">
      <c r="A27" s="77" t="s">
        <v>128</v>
      </c>
      <c r="B27" s="61"/>
      <c r="C27" s="61"/>
      <c r="D27" s="61"/>
      <c r="E27" s="61"/>
      <c r="F27" s="61"/>
      <c r="G27" s="61"/>
      <c r="H27" s="61"/>
      <c r="I27" s="61"/>
      <c r="J27" s="61"/>
      <c r="K27" s="61"/>
      <c r="L27" s="61"/>
      <c r="M27" s="61"/>
      <c r="N27" s="61"/>
      <c r="O27" s="61"/>
      <c r="P27" s="61"/>
      <c r="Q27" s="61"/>
    </row>
    <row r="28" spans="1:17" ht="31.95" customHeight="1" x14ac:dyDescent="0.3">
      <c r="A28" s="77" t="s">
        <v>129</v>
      </c>
      <c r="B28" s="61"/>
      <c r="C28" s="61"/>
      <c r="D28" s="61"/>
      <c r="E28" s="61"/>
      <c r="F28" s="61"/>
      <c r="G28" s="61"/>
      <c r="H28" s="61"/>
      <c r="I28" s="61"/>
      <c r="J28" s="61"/>
      <c r="K28" s="61"/>
      <c r="L28" s="61"/>
      <c r="M28" s="61"/>
      <c r="N28" s="61"/>
      <c r="O28" s="61"/>
      <c r="P28" s="61"/>
      <c r="Q28" s="61"/>
    </row>
    <row r="30" spans="1:17" x14ac:dyDescent="0.3">
      <c r="A30" s="78"/>
      <c r="B30" s="61"/>
      <c r="C30" s="61"/>
      <c r="D30" s="61"/>
      <c r="E30" s="61"/>
      <c r="F30" s="61"/>
      <c r="G30" s="61"/>
      <c r="H30" s="61"/>
      <c r="I30" s="61"/>
      <c r="J30" s="61"/>
      <c r="K30" s="61"/>
      <c r="L30" s="61"/>
      <c r="M30" s="61"/>
      <c r="N30" s="61"/>
      <c r="O30" s="61"/>
      <c r="P30" s="61"/>
      <c r="Q30" s="61"/>
    </row>
  </sheetData>
  <mergeCells count="14">
    <mergeCell ref="A30:Q30"/>
    <mergeCell ref="A21:Q21"/>
    <mergeCell ref="A26:Q26"/>
    <mergeCell ref="A3:Q3"/>
    <mergeCell ref="A20:Q20"/>
    <mergeCell ref="A28:Q28"/>
    <mergeCell ref="A25:Q25"/>
    <mergeCell ref="A23:Q23"/>
    <mergeCell ref="A2:Q2"/>
    <mergeCell ref="A19:Q19"/>
    <mergeCell ref="A27:Q27"/>
    <mergeCell ref="A24:Q24"/>
    <mergeCell ref="A1:Q1"/>
    <mergeCell ref="A22:Q22"/>
  </mergeCells>
  <conditionalFormatting sqref="P5:P17">
    <cfRule type="expression" dxfId="2" priority="1">
      <formula>$P5="Tier A"</formula>
    </cfRule>
    <cfRule type="expression" dxfId="1" priority="2">
      <formula>$P5="Tier B"</formula>
    </cfRule>
    <cfRule type="expression" dxfId="0" priority="3">
      <formula>$P5="Tier C"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25476-F050-46A1-8B6B-65FA8A4ADCAE}">
  <dimension ref="A1:V71"/>
  <sheetViews>
    <sheetView workbookViewId="0">
      <selection activeCell="W11" sqref="W11"/>
    </sheetView>
  </sheetViews>
  <sheetFormatPr defaultRowHeight="14.4" x14ac:dyDescent="0.3"/>
  <cols>
    <col min="1" max="1" width="23.5546875" customWidth="1"/>
    <col min="2" max="2" width="90" customWidth="1"/>
    <col min="3" max="3" width="42" customWidth="1"/>
    <col min="4" max="4" width="10" customWidth="1"/>
    <col min="5" max="6" width="14" customWidth="1"/>
    <col min="7" max="7" width="12" customWidth="1"/>
    <col min="8" max="9" width="14" customWidth="1"/>
    <col min="10" max="11" width="16" customWidth="1"/>
    <col min="12" max="12" width="20.6640625" customWidth="1"/>
    <col min="13" max="16" width="16" customWidth="1"/>
    <col min="17" max="17" width="19.77734375" customWidth="1"/>
    <col min="18" max="18" width="16" customWidth="1"/>
    <col min="19" max="19" width="19.44140625" customWidth="1"/>
    <col min="20" max="20" width="18.33203125" customWidth="1"/>
    <col min="21" max="21" width="29.77734375" customWidth="1"/>
    <col min="22" max="22" width="31.77734375" customWidth="1"/>
  </cols>
  <sheetData>
    <row r="1" spans="1:22" s="79" customFormat="1" ht="33.6" customHeight="1" x14ac:dyDescent="0.3">
      <c r="A1" s="79" t="s">
        <v>133</v>
      </c>
    </row>
    <row r="2" spans="1:22" s="2" customFormat="1" hidden="1" x14ac:dyDescent="0.3"/>
    <row r="3" spans="1:22" s="2" customFormat="1" ht="43.95" customHeight="1" x14ac:dyDescent="0.3">
      <c r="A3" s="50" t="s">
        <v>97</v>
      </c>
      <c r="B3" s="50" t="s">
        <v>134</v>
      </c>
      <c r="C3" s="50" t="s">
        <v>135</v>
      </c>
      <c r="D3" s="50" t="s">
        <v>35</v>
      </c>
      <c r="E3" s="50" t="s">
        <v>136</v>
      </c>
      <c r="F3" s="50" t="s">
        <v>137</v>
      </c>
      <c r="G3" s="50" t="s">
        <v>138</v>
      </c>
      <c r="H3" s="50" t="s">
        <v>94</v>
      </c>
      <c r="I3" s="50" t="s">
        <v>95</v>
      </c>
      <c r="J3" s="50" t="s">
        <v>139</v>
      </c>
      <c r="K3" s="50" t="s">
        <v>140</v>
      </c>
      <c r="L3" s="50" t="s">
        <v>141</v>
      </c>
      <c r="M3" s="50" t="s">
        <v>142</v>
      </c>
      <c r="N3" s="50" t="s">
        <v>143</v>
      </c>
      <c r="O3" s="50" t="s">
        <v>144</v>
      </c>
      <c r="P3" s="50" t="s">
        <v>145</v>
      </c>
      <c r="Q3" s="50" t="s">
        <v>146</v>
      </c>
      <c r="R3" s="50" t="s">
        <v>147</v>
      </c>
      <c r="S3" s="50" t="s">
        <v>148</v>
      </c>
      <c r="T3" s="50" t="s">
        <v>149</v>
      </c>
      <c r="U3" s="50" t="s">
        <v>150</v>
      </c>
      <c r="V3" s="50" t="s">
        <v>151</v>
      </c>
    </row>
    <row r="4" spans="1:22" s="2" customFormat="1" x14ac:dyDescent="0.3">
      <c r="A4" s="23" t="s">
        <v>152</v>
      </c>
      <c r="B4" s="51" t="s">
        <v>153</v>
      </c>
      <c r="C4" s="23" t="s">
        <v>154</v>
      </c>
      <c r="D4" s="23" t="s">
        <v>46</v>
      </c>
      <c r="E4" s="52">
        <v>14669877</v>
      </c>
      <c r="F4" s="52">
        <v>14675087</v>
      </c>
      <c r="G4" s="23" t="s">
        <v>46</v>
      </c>
      <c r="H4" s="52">
        <v>14762144</v>
      </c>
      <c r="I4" s="52">
        <v>14767354</v>
      </c>
      <c r="J4" s="53">
        <v>6.5540000000000003</v>
      </c>
      <c r="K4" s="53">
        <v>4.7939999999999996</v>
      </c>
      <c r="L4" s="53">
        <v>11.348000000000001</v>
      </c>
      <c r="M4" s="53">
        <v>-1.2E-2</v>
      </c>
      <c r="N4" s="53">
        <v>0.18099999999999999</v>
      </c>
      <c r="O4" s="53">
        <v>0.161</v>
      </c>
      <c r="P4" s="53">
        <v>0.01</v>
      </c>
      <c r="Q4" s="53">
        <v>1.575</v>
      </c>
      <c r="R4" s="53">
        <v>0.498</v>
      </c>
      <c r="S4" s="53">
        <v>1.8140000000000001</v>
      </c>
      <c r="T4" s="53">
        <v>1.423</v>
      </c>
      <c r="U4" s="53">
        <v>1.6180000000000001</v>
      </c>
      <c r="V4" s="53">
        <v>0.34100000000000003</v>
      </c>
    </row>
    <row r="5" spans="1:22" s="2" customFormat="1" x14ac:dyDescent="0.3">
      <c r="A5" s="54" t="s">
        <v>19</v>
      </c>
      <c r="B5" s="55" t="s">
        <v>155</v>
      </c>
      <c r="C5" s="54" t="s">
        <v>156</v>
      </c>
      <c r="D5" s="54" t="s">
        <v>46</v>
      </c>
      <c r="E5" s="56">
        <v>14718760</v>
      </c>
      <c r="F5" s="56">
        <v>14724010</v>
      </c>
      <c r="G5" s="54" t="s">
        <v>46</v>
      </c>
      <c r="H5" s="56">
        <v>14811027</v>
      </c>
      <c r="I5" s="56">
        <v>14816277</v>
      </c>
      <c r="J5" s="57">
        <v>1.4490000000000001</v>
      </c>
      <c r="K5" s="57">
        <v>1.83</v>
      </c>
      <c r="L5" s="57">
        <v>3.2789999999999999</v>
      </c>
      <c r="M5" s="57">
        <v>-8.9999999999999993E-3</v>
      </c>
      <c r="N5" s="57">
        <v>9.8000000000000004E-2</v>
      </c>
      <c r="O5" s="57">
        <v>5.3999999999999999E-2</v>
      </c>
      <c r="P5" s="57">
        <v>2.9000000000000001E-2</v>
      </c>
      <c r="Q5" s="57">
        <v>1.3129999999999999</v>
      </c>
      <c r="R5" s="57">
        <v>0.114</v>
      </c>
      <c r="S5" s="57">
        <v>0.84299999999999997</v>
      </c>
      <c r="T5" s="57">
        <v>0.72</v>
      </c>
      <c r="U5" s="57">
        <v>0.78200000000000003</v>
      </c>
      <c r="V5" s="57">
        <v>0.152</v>
      </c>
    </row>
    <row r="6" spans="1:22" s="2" customFormat="1" x14ac:dyDescent="0.3">
      <c r="A6" s="23" t="s">
        <v>157</v>
      </c>
      <c r="B6" s="51" t="s">
        <v>153</v>
      </c>
      <c r="C6" s="23" t="s">
        <v>158</v>
      </c>
      <c r="D6" s="23" t="s">
        <v>46</v>
      </c>
      <c r="E6" s="52">
        <v>14753428</v>
      </c>
      <c r="F6" s="52">
        <v>14758692</v>
      </c>
      <c r="G6" s="23" t="s">
        <v>46</v>
      </c>
      <c r="H6" s="52">
        <v>14845695</v>
      </c>
      <c r="I6" s="52">
        <v>14850959</v>
      </c>
      <c r="J6" s="53">
        <v>1.0660000000000001</v>
      </c>
      <c r="K6" s="53">
        <v>2.2690000000000001</v>
      </c>
      <c r="L6" s="53">
        <v>3.335</v>
      </c>
      <c r="M6" s="53">
        <v>-1.6E-2</v>
      </c>
      <c r="N6" s="53">
        <v>9.4E-2</v>
      </c>
      <c r="O6" s="53">
        <v>7.5999999999999998E-2</v>
      </c>
      <c r="P6" s="53">
        <v>2.3E-2</v>
      </c>
      <c r="Q6" s="53">
        <v>3.7389999999999999</v>
      </c>
      <c r="R6" s="53">
        <v>0</v>
      </c>
      <c r="S6" s="53">
        <v>1.212</v>
      </c>
      <c r="T6" s="53">
        <v>0.94799999999999995</v>
      </c>
      <c r="U6" s="53">
        <v>1.08</v>
      </c>
      <c r="V6" s="53">
        <v>0.17</v>
      </c>
    </row>
    <row r="7" spans="1:22" s="2" customFormat="1" x14ac:dyDescent="0.3">
      <c r="A7" s="54" t="s">
        <v>159</v>
      </c>
      <c r="B7" s="51" t="s">
        <v>153</v>
      </c>
      <c r="C7" s="54" t="s">
        <v>160</v>
      </c>
      <c r="D7" s="54" t="s">
        <v>46</v>
      </c>
      <c r="E7" s="56">
        <v>14787659</v>
      </c>
      <c r="F7" s="56">
        <v>14793048</v>
      </c>
      <c r="G7" s="54" t="s">
        <v>46</v>
      </c>
      <c r="H7" s="56">
        <v>14879926</v>
      </c>
      <c r="I7" s="56">
        <v>14885315</v>
      </c>
      <c r="J7" s="57">
        <v>2.0489999999999999</v>
      </c>
      <c r="K7" s="57">
        <v>2.532</v>
      </c>
      <c r="L7" s="57">
        <v>4.5810000000000004</v>
      </c>
      <c r="M7" s="57">
        <v>-8.9999999999999993E-3</v>
      </c>
      <c r="N7" s="57">
        <v>7.1999999999999995E-2</v>
      </c>
      <c r="O7" s="57">
        <v>0.06</v>
      </c>
      <c r="P7" s="57">
        <v>0.01</v>
      </c>
      <c r="Q7" s="57">
        <v>1.48</v>
      </c>
      <c r="R7" s="57">
        <v>0</v>
      </c>
      <c r="S7" s="57">
        <v>1.018</v>
      </c>
      <c r="T7" s="57">
        <v>0.752</v>
      </c>
      <c r="U7" s="57">
        <v>0.88500000000000001</v>
      </c>
      <c r="V7" s="57">
        <v>0.13200000000000001</v>
      </c>
    </row>
    <row r="8" spans="1:22" s="2" customFormat="1" x14ac:dyDescent="0.3">
      <c r="A8" s="23" t="s">
        <v>161</v>
      </c>
      <c r="B8" s="51" t="s">
        <v>153</v>
      </c>
      <c r="C8" s="23" t="s">
        <v>160</v>
      </c>
      <c r="D8" s="23" t="s">
        <v>46</v>
      </c>
      <c r="E8" s="52">
        <v>14789978</v>
      </c>
      <c r="F8" s="52">
        <v>14790458</v>
      </c>
      <c r="G8" s="23" t="s">
        <v>46</v>
      </c>
      <c r="H8" s="52">
        <v>14882245</v>
      </c>
      <c r="I8" s="52">
        <v>14882725</v>
      </c>
      <c r="J8" s="53">
        <v>2.1269999999999998</v>
      </c>
      <c r="K8" s="53">
        <v>3.6789999999999998</v>
      </c>
      <c r="L8" s="53">
        <v>5.806</v>
      </c>
      <c r="M8" s="53">
        <v>-4.2000000000000003E-2</v>
      </c>
      <c r="N8" s="53">
        <v>0.13500000000000001</v>
      </c>
      <c r="O8" s="53">
        <v>0.151</v>
      </c>
      <c r="P8" s="53">
        <v>0</v>
      </c>
      <c r="Q8" s="53">
        <v>0</v>
      </c>
      <c r="R8" s="53">
        <v>0</v>
      </c>
      <c r="S8" s="53">
        <v>0.95799999999999996</v>
      </c>
      <c r="T8" s="53">
        <v>1.552</v>
      </c>
      <c r="U8" s="53">
        <v>1.2549999999999999</v>
      </c>
      <c r="V8" s="53">
        <v>0.28499999999999998</v>
      </c>
    </row>
    <row r="9" spans="1:22" s="2" customFormat="1" x14ac:dyDescent="0.3">
      <c r="A9" s="54" t="s">
        <v>162</v>
      </c>
      <c r="B9" s="51" t="s">
        <v>153</v>
      </c>
      <c r="C9" s="54" t="s">
        <v>163</v>
      </c>
      <c r="D9" s="54" t="s">
        <v>46</v>
      </c>
      <c r="E9" s="56">
        <v>14800504</v>
      </c>
      <c r="F9" s="56">
        <v>14801224</v>
      </c>
      <c r="G9" s="54" t="s">
        <v>46</v>
      </c>
      <c r="H9" s="56">
        <v>14892771</v>
      </c>
      <c r="I9" s="56">
        <v>14893491</v>
      </c>
      <c r="J9" s="57">
        <v>3.4350000000000001</v>
      </c>
      <c r="K9" s="57">
        <v>3.597</v>
      </c>
      <c r="L9" s="57">
        <v>7.032</v>
      </c>
      <c r="M9" s="57">
        <v>-0.05</v>
      </c>
      <c r="N9" s="57">
        <v>0.19</v>
      </c>
      <c r="O9" s="57">
        <v>0.17299999999999999</v>
      </c>
      <c r="P9" s="57">
        <v>4.8000000000000001E-2</v>
      </c>
      <c r="Q9" s="57">
        <v>0</v>
      </c>
      <c r="R9" s="57">
        <v>0</v>
      </c>
      <c r="S9" s="57">
        <v>1.4279999999999999</v>
      </c>
      <c r="T9" s="57">
        <v>0.97099999999999997</v>
      </c>
      <c r="U9" s="57">
        <v>1.1990000000000001</v>
      </c>
      <c r="V9" s="57">
        <v>0.36299999999999999</v>
      </c>
    </row>
    <row r="10" spans="1:22" s="2" customFormat="1" x14ac:dyDescent="0.3">
      <c r="A10" s="23" t="s">
        <v>20</v>
      </c>
      <c r="B10" s="55" t="s">
        <v>155</v>
      </c>
      <c r="C10" s="23" t="s">
        <v>156</v>
      </c>
      <c r="D10" s="23" t="s">
        <v>46</v>
      </c>
      <c r="E10" s="52">
        <v>14840677</v>
      </c>
      <c r="F10" s="52">
        <v>14846134</v>
      </c>
      <c r="G10" s="23" t="s">
        <v>46</v>
      </c>
      <c r="H10" s="52">
        <v>14932944</v>
      </c>
      <c r="I10" s="52">
        <v>14938401</v>
      </c>
      <c r="J10" s="53">
        <v>3.141</v>
      </c>
      <c r="K10" s="53">
        <v>4.0209999999999999</v>
      </c>
      <c r="L10" s="53">
        <v>7.1619999999999999</v>
      </c>
      <c r="M10" s="53">
        <v>-1.2E-2</v>
      </c>
      <c r="N10" s="53">
        <v>9.1999999999999998E-2</v>
      </c>
      <c r="O10" s="53">
        <v>0.123</v>
      </c>
      <c r="P10" s="53">
        <v>2.3E-2</v>
      </c>
      <c r="Q10" s="53">
        <v>3.8170000000000002</v>
      </c>
      <c r="R10" s="53">
        <v>0.11</v>
      </c>
      <c r="S10" s="53">
        <v>0.55100000000000005</v>
      </c>
      <c r="T10" s="53">
        <v>0.53600000000000003</v>
      </c>
      <c r="U10" s="53">
        <v>0.54400000000000004</v>
      </c>
      <c r="V10" s="53">
        <v>0.215</v>
      </c>
    </row>
    <row r="11" spans="1:22" s="2" customFormat="1" x14ac:dyDescent="0.3">
      <c r="A11" s="54" t="s">
        <v>164</v>
      </c>
      <c r="B11" s="51" t="s">
        <v>153</v>
      </c>
      <c r="C11" s="54" t="s">
        <v>165</v>
      </c>
      <c r="D11" s="54" t="s">
        <v>46</v>
      </c>
      <c r="E11" s="56">
        <v>14875948</v>
      </c>
      <c r="F11" s="56">
        <v>14881117</v>
      </c>
      <c r="G11" s="54" t="s">
        <v>46</v>
      </c>
      <c r="H11" s="56">
        <v>14968215</v>
      </c>
      <c r="I11" s="56">
        <v>14973384</v>
      </c>
      <c r="J11" s="57">
        <v>0.94199999999999995</v>
      </c>
      <c r="K11" s="57">
        <v>3.0310000000000001</v>
      </c>
      <c r="L11" s="57">
        <v>3.972</v>
      </c>
      <c r="M11" s="57">
        <v>-8.0000000000000002E-3</v>
      </c>
      <c r="N11" s="57">
        <v>0.109</v>
      </c>
      <c r="O11" s="57">
        <v>7.9000000000000001E-2</v>
      </c>
      <c r="P11" s="57">
        <v>5.0999999999999997E-2</v>
      </c>
      <c r="Q11" s="57">
        <v>1.1419999999999999</v>
      </c>
      <c r="R11" s="57">
        <v>0.52200000000000002</v>
      </c>
      <c r="S11" s="57">
        <v>1.026</v>
      </c>
      <c r="T11" s="57">
        <v>0.73099999999999998</v>
      </c>
      <c r="U11" s="57">
        <v>0.879</v>
      </c>
      <c r="V11" s="57">
        <v>0.188</v>
      </c>
    </row>
    <row r="12" spans="1:22" s="2" customFormat="1" x14ac:dyDescent="0.3">
      <c r="A12" s="23" t="s">
        <v>166</v>
      </c>
      <c r="B12" s="51" t="s">
        <v>153</v>
      </c>
      <c r="C12" s="23" t="s">
        <v>167</v>
      </c>
      <c r="D12" s="23" t="s">
        <v>46</v>
      </c>
      <c r="E12" s="52">
        <v>15008719</v>
      </c>
      <c r="F12" s="52">
        <v>15013622</v>
      </c>
      <c r="G12" s="23" t="s">
        <v>46</v>
      </c>
      <c r="H12" s="52">
        <v>15100986</v>
      </c>
      <c r="I12" s="52">
        <v>15105889</v>
      </c>
      <c r="J12" s="53">
        <v>1.379</v>
      </c>
      <c r="K12" s="53">
        <v>2.8370000000000002</v>
      </c>
      <c r="L12" s="53">
        <v>4.2160000000000002</v>
      </c>
      <c r="M12" s="53">
        <v>-4.0000000000000001E-3</v>
      </c>
      <c r="N12" s="53">
        <v>0.158</v>
      </c>
      <c r="O12" s="53">
        <v>7.3999999999999996E-2</v>
      </c>
      <c r="P12" s="53">
        <v>0.04</v>
      </c>
      <c r="Q12" s="53">
        <v>2.9369999999999998</v>
      </c>
      <c r="R12" s="53">
        <v>0.122</v>
      </c>
      <c r="S12" s="53">
        <v>2.0350000000000001</v>
      </c>
      <c r="T12" s="53">
        <v>1.544</v>
      </c>
      <c r="U12" s="53">
        <v>1.7889999999999999</v>
      </c>
      <c r="V12" s="53">
        <v>0.23200000000000001</v>
      </c>
    </row>
    <row r="13" spans="1:22" s="2" customFormat="1" x14ac:dyDescent="0.3">
      <c r="A13" s="54" t="s">
        <v>168</v>
      </c>
      <c r="B13" s="51" t="s">
        <v>153</v>
      </c>
      <c r="C13" s="54" t="s">
        <v>154</v>
      </c>
      <c r="D13" s="54" t="s">
        <v>46</v>
      </c>
      <c r="E13" s="56">
        <v>15051770</v>
      </c>
      <c r="F13" s="56">
        <v>15054203</v>
      </c>
      <c r="G13" s="54" t="s">
        <v>46</v>
      </c>
      <c r="H13" s="56">
        <v>15144037</v>
      </c>
      <c r="I13" s="56">
        <v>15146470</v>
      </c>
      <c r="J13" s="57">
        <v>84.846000000000004</v>
      </c>
      <c r="K13" s="57">
        <v>23.664000000000001</v>
      </c>
      <c r="L13" s="57">
        <v>108.51</v>
      </c>
      <c r="M13" s="57">
        <v>6.3E-2</v>
      </c>
      <c r="N13" s="57">
        <v>0.72199999999999998</v>
      </c>
      <c r="O13" s="57">
        <v>0.53600000000000003</v>
      </c>
      <c r="P13" s="57">
        <v>0.28100000000000003</v>
      </c>
      <c r="Q13" s="57">
        <v>1.788</v>
      </c>
      <c r="R13" s="57">
        <v>1.617</v>
      </c>
      <c r="S13" s="57">
        <v>5.6689999999999996</v>
      </c>
      <c r="T13" s="57">
        <v>3.8940000000000001</v>
      </c>
      <c r="U13" s="57">
        <v>4.7809999999999997</v>
      </c>
      <c r="V13" s="57">
        <v>1.258</v>
      </c>
    </row>
    <row r="14" spans="1:22" s="2" customFormat="1" ht="28.8" x14ac:dyDescent="0.3">
      <c r="A14" s="23" t="s">
        <v>169</v>
      </c>
      <c r="B14" s="51" t="s">
        <v>153</v>
      </c>
      <c r="C14" s="23" t="s">
        <v>170</v>
      </c>
      <c r="D14" s="23" t="s">
        <v>46</v>
      </c>
      <c r="E14" s="52">
        <v>15105354</v>
      </c>
      <c r="F14" s="52">
        <v>15110659</v>
      </c>
      <c r="G14" s="23" t="s">
        <v>46</v>
      </c>
      <c r="H14" s="52">
        <v>15197621</v>
      </c>
      <c r="I14" s="52">
        <v>15202926</v>
      </c>
      <c r="J14" s="53">
        <v>3.3809999999999998</v>
      </c>
      <c r="K14" s="53">
        <v>3.931</v>
      </c>
      <c r="L14" s="53">
        <v>7.3120000000000003</v>
      </c>
      <c r="M14" s="53">
        <v>-1.2E-2</v>
      </c>
      <c r="N14" s="53">
        <v>0.245</v>
      </c>
      <c r="O14" s="53">
        <v>0.158</v>
      </c>
      <c r="P14" s="53">
        <v>5.8999999999999997E-2</v>
      </c>
      <c r="Q14" s="53">
        <v>2.403</v>
      </c>
      <c r="R14" s="53">
        <v>0.28499999999999998</v>
      </c>
      <c r="S14" s="53">
        <v>1.6759999999999999</v>
      </c>
      <c r="T14" s="53">
        <v>1.357</v>
      </c>
      <c r="U14" s="53">
        <v>1.516</v>
      </c>
      <c r="V14" s="53">
        <v>0.40300000000000002</v>
      </c>
    </row>
    <row r="15" spans="1:22" s="2" customFormat="1" x14ac:dyDescent="0.3">
      <c r="A15" s="54" t="s">
        <v>21</v>
      </c>
      <c r="B15" s="55" t="s">
        <v>155</v>
      </c>
      <c r="C15" s="54" t="s">
        <v>156</v>
      </c>
      <c r="D15" s="54" t="s">
        <v>46</v>
      </c>
      <c r="E15" s="56">
        <v>15171260</v>
      </c>
      <c r="F15" s="56">
        <v>15176448</v>
      </c>
      <c r="G15" s="54" t="s">
        <v>46</v>
      </c>
      <c r="H15" s="56">
        <v>15263527</v>
      </c>
      <c r="I15" s="56">
        <v>15268715</v>
      </c>
      <c r="J15" s="57">
        <v>2.4590000000000001</v>
      </c>
      <c r="K15" s="57">
        <v>3.3170000000000002</v>
      </c>
      <c r="L15" s="57">
        <v>5.7759999999999998</v>
      </c>
      <c r="M15" s="57">
        <v>-6.0000000000000001E-3</v>
      </c>
      <c r="N15" s="57">
        <v>7.4999999999999997E-2</v>
      </c>
      <c r="O15" s="57">
        <v>0.113</v>
      </c>
      <c r="P15" s="57">
        <v>3.4000000000000002E-2</v>
      </c>
      <c r="Q15" s="57">
        <v>0.40600000000000003</v>
      </c>
      <c r="R15" s="57">
        <v>0.17299999999999999</v>
      </c>
      <c r="S15" s="57">
        <v>0.91100000000000003</v>
      </c>
      <c r="T15" s="57">
        <v>0.72799999999999998</v>
      </c>
      <c r="U15" s="57">
        <v>0.81899999999999995</v>
      </c>
      <c r="V15" s="57">
        <v>0.188</v>
      </c>
    </row>
    <row r="16" spans="1:22" s="2" customFormat="1" x14ac:dyDescent="0.3">
      <c r="A16" s="23" t="s">
        <v>171</v>
      </c>
      <c r="B16" s="51" t="s">
        <v>153</v>
      </c>
      <c r="C16" s="23" t="s">
        <v>172</v>
      </c>
      <c r="D16" s="23" t="s">
        <v>46</v>
      </c>
      <c r="E16" s="52">
        <v>15177942</v>
      </c>
      <c r="F16" s="52">
        <v>15183579</v>
      </c>
      <c r="G16" s="23" t="s">
        <v>46</v>
      </c>
      <c r="H16" s="52">
        <v>15270209</v>
      </c>
      <c r="I16" s="52">
        <v>15275846</v>
      </c>
      <c r="J16" s="53">
        <v>5.5090000000000003</v>
      </c>
      <c r="K16" s="53">
        <v>3.202</v>
      </c>
      <c r="L16" s="53">
        <v>8.7119999999999997</v>
      </c>
      <c r="M16" s="53">
        <v>-8.9999999999999993E-3</v>
      </c>
      <c r="N16" s="53">
        <v>0.39600000000000002</v>
      </c>
      <c r="O16" s="53">
        <v>0.25600000000000001</v>
      </c>
      <c r="P16" s="53">
        <v>0.06</v>
      </c>
      <c r="Q16" s="53">
        <v>0.59399999999999997</v>
      </c>
      <c r="R16" s="53">
        <v>0.28399999999999997</v>
      </c>
      <c r="S16" s="53">
        <v>2.5099999999999998</v>
      </c>
      <c r="T16" s="53">
        <v>1.446</v>
      </c>
      <c r="U16" s="53">
        <v>1.978</v>
      </c>
      <c r="V16" s="53">
        <v>0.65200000000000002</v>
      </c>
    </row>
    <row r="17" spans="1:22" s="2" customFormat="1" ht="28.8" x14ac:dyDescent="0.3">
      <c r="A17" s="54" t="s">
        <v>173</v>
      </c>
      <c r="B17" s="51" t="s">
        <v>153</v>
      </c>
      <c r="C17" s="54" t="s">
        <v>174</v>
      </c>
      <c r="D17" s="54" t="s">
        <v>46</v>
      </c>
      <c r="E17" s="56">
        <v>15206894</v>
      </c>
      <c r="F17" s="56">
        <v>15211138</v>
      </c>
      <c r="G17" s="54" t="s">
        <v>46</v>
      </c>
      <c r="H17" s="56">
        <v>15299161</v>
      </c>
      <c r="I17" s="56">
        <v>15303405</v>
      </c>
      <c r="J17" s="57">
        <v>11.516999999999999</v>
      </c>
      <c r="K17" s="57">
        <v>4.43</v>
      </c>
      <c r="L17" s="57">
        <v>15.946999999999999</v>
      </c>
      <c r="M17" s="57">
        <v>1.2999999999999999E-2</v>
      </c>
      <c r="N17" s="57">
        <v>0.53100000000000003</v>
      </c>
      <c r="O17" s="57">
        <v>0.30199999999999999</v>
      </c>
      <c r="P17" s="57">
        <v>5.8999999999999997E-2</v>
      </c>
      <c r="Q17" s="57">
        <v>2.1680000000000001</v>
      </c>
      <c r="R17" s="57">
        <v>0.63600000000000001</v>
      </c>
      <c r="S17" s="57">
        <v>2.5390000000000001</v>
      </c>
      <c r="T17" s="57">
        <v>2.468</v>
      </c>
      <c r="U17" s="57">
        <v>2.5030000000000001</v>
      </c>
      <c r="V17" s="57">
        <v>0.83299999999999996</v>
      </c>
    </row>
    <row r="18" spans="1:22" s="2" customFormat="1" x14ac:dyDescent="0.3">
      <c r="A18" s="23" t="s">
        <v>175</v>
      </c>
      <c r="B18" s="51" t="s">
        <v>153</v>
      </c>
      <c r="C18" s="23" t="s">
        <v>176</v>
      </c>
      <c r="D18" s="23" t="s">
        <v>46</v>
      </c>
      <c r="E18" s="52">
        <v>15207935</v>
      </c>
      <c r="F18" s="52">
        <v>15210467</v>
      </c>
      <c r="G18" s="23" t="s">
        <v>46</v>
      </c>
      <c r="H18" s="52">
        <v>15300202</v>
      </c>
      <c r="I18" s="52">
        <v>15302734</v>
      </c>
      <c r="J18" s="53">
        <v>16.888000000000002</v>
      </c>
      <c r="K18" s="53">
        <v>5.4340000000000002</v>
      </c>
      <c r="L18" s="53">
        <v>22.323</v>
      </c>
      <c r="M18" s="53">
        <v>2.3E-2</v>
      </c>
      <c r="N18" s="53">
        <v>0.73399999999999999</v>
      </c>
      <c r="O18" s="53">
        <v>0.32900000000000001</v>
      </c>
      <c r="P18" s="53">
        <v>8.1000000000000003E-2</v>
      </c>
      <c r="Q18" s="53">
        <v>0</v>
      </c>
      <c r="R18" s="53">
        <v>0.47399999999999998</v>
      </c>
      <c r="S18" s="53">
        <v>2.9079999999999999</v>
      </c>
      <c r="T18" s="53">
        <v>3.3559999999999999</v>
      </c>
      <c r="U18" s="53">
        <v>3.1320000000000001</v>
      </c>
      <c r="V18" s="53">
        <v>1.0620000000000001</v>
      </c>
    </row>
    <row r="19" spans="1:22" s="2" customFormat="1" x14ac:dyDescent="0.3">
      <c r="A19" s="54" t="s">
        <v>177</v>
      </c>
      <c r="B19" s="51" t="s">
        <v>153</v>
      </c>
      <c r="C19" s="54" t="s">
        <v>178</v>
      </c>
      <c r="D19" s="54" t="s">
        <v>46</v>
      </c>
      <c r="E19" s="56">
        <v>15219891</v>
      </c>
      <c r="F19" s="56">
        <v>15224925</v>
      </c>
      <c r="G19" s="54" t="s">
        <v>46</v>
      </c>
      <c r="H19" s="56">
        <v>15312158</v>
      </c>
      <c r="I19" s="56">
        <v>15317192</v>
      </c>
      <c r="J19" s="57">
        <v>4.9269999999999996</v>
      </c>
      <c r="K19" s="57">
        <v>4.0380000000000003</v>
      </c>
      <c r="L19" s="57">
        <v>8.9649999999999999</v>
      </c>
      <c r="M19" s="57">
        <v>-1.4999999999999999E-2</v>
      </c>
      <c r="N19" s="57">
        <v>0.17</v>
      </c>
      <c r="O19" s="57">
        <v>0.13200000000000001</v>
      </c>
      <c r="P19" s="57">
        <v>3.4000000000000002E-2</v>
      </c>
      <c r="Q19" s="57">
        <v>1.1259999999999999</v>
      </c>
      <c r="R19" s="57">
        <v>0.314</v>
      </c>
      <c r="S19" s="57">
        <v>0.81399999999999995</v>
      </c>
      <c r="T19" s="57">
        <v>1.0309999999999999</v>
      </c>
      <c r="U19" s="57">
        <v>0.92300000000000004</v>
      </c>
      <c r="V19" s="57">
        <v>0.30299999999999999</v>
      </c>
    </row>
    <row r="20" spans="1:22" s="2" customFormat="1" x14ac:dyDescent="0.3">
      <c r="A20" s="23" t="s">
        <v>18</v>
      </c>
      <c r="B20" s="55" t="s">
        <v>155</v>
      </c>
      <c r="C20" s="23" t="s">
        <v>156</v>
      </c>
      <c r="D20" s="23" t="s">
        <v>46</v>
      </c>
      <c r="E20" s="52">
        <v>15221300</v>
      </c>
      <c r="F20" s="52">
        <v>15226920</v>
      </c>
      <c r="G20" s="23" t="s">
        <v>46</v>
      </c>
      <c r="H20" s="52">
        <v>15313567</v>
      </c>
      <c r="I20" s="52">
        <v>15319187</v>
      </c>
      <c r="J20" s="53">
        <v>4.984</v>
      </c>
      <c r="K20" s="53">
        <v>4.319</v>
      </c>
      <c r="L20" s="53">
        <v>9.3019999999999996</v>
      </c>
      <c r="M20" s="53">
        <v>-1.7999999999999999E-2</v>
      </c>
      <c r="N20" s="53">
        <v>0.20399999999999999</v>
      </c>
      <c r="O20" s="53">
        <v>0.158</v>
      </c>
      <c r="P20" s="53">
        <v>3.5000000000000003E-2</v>
      </c>
      <c r="Q20" s="53">
        <v>1.633</v>
      </c>
      <c r="R20" s="53">
        <v>0.48</v>
      </c>
      <c r="S20" s="53">
        <v>0.85799999999999998</v>
      </c>
      <c r="T20" s="53">
        <v>1.1890000000000001</v>
      </c>
      <c r="U20" s="53">
        <v>1.0229999999999999</v>
      </c>
      <c r="V20" s="53">
        <v>0.36099999999999999</v>
      </c>
    </row>
    <row r="21" spans="1:22" s="2" customFormat="1" x14ac:dyDescent="0.3">
      <c r="A21" s="54" t="s">
        <v>179</v>
      </c>
      <c r="B21" s="51" t="s">
        <v>153</v>
      </c>
      <c r="C21" s="54" t="s">
        <v>180</v>
      </c>
      <c r="D21" s="54" t="s">
        <v>46</v>
      </c>
      <c r="E21" s="56">
        <v>15224458</v>
      </c>
      <c r="F21" s="56">
        <v>15230035</v>
      </c>
      <c r="G21" s="54" t="s">
        <v>46</v>
      </c>
      <c r="H21" s="56">
        <v>15316725</v>
      </c>
      <c r="I21" s="56">
        <v>15322305</v>
      </c>
      <c r="J21" s="57">
        <v>3.89</v>
      </c>
      <c r="K21" s="57">
        <v>3.411</v>
      </c>
      <c r="L21" s="57">
        <v>7.3010000000000002</v>
      </c>
      <c r="M21" s="57">
        <v>-1.4999999999999999E-2</v>
      </c>
      <c r="N21" s="57">
        <v>0.15</v>
      </c>
      <c r="O21" s="57">
        <v>0.27700000000000002</v>
      </c>
      <c r="P21" s="57">
        <v>3.3000000000000002E-2</v>
      </c>
      <c r="Q21" s="57">
        <v>1.7669999999999999</v>
      </c>
      <c r="R21" s="57">
        <v>0.28000000000000003</v>
      </c>
      <c r="S21" s="57">
        <v>1.1839999999999999</v>
      </c>
      <c r="T21" s="57">
        <v>0.996</v>
      </c>
      <c r="U21" s="57">
        <v>1.0900000000000001</v>
      </c>
      <c r="V21" s="57">
        <v>0.42699999999999999</v>
      </c>
    </row>
    <row r="22" spans="1:22" s="2" customFormat="1" x14ac:dyDescent="0.3">
      <c r="A22" s="23" t="s">
        <v>181</v>
      </c>
      <c r="B22" s="51" t="s">
        <v>153</v>
      </c>
      <c r="C22" s="23" t="s">
        <v>182</v>
      </c>
      <c r="D22" s="23" t="s">
        <v>46</v>
      </c>
      <c r="E22" s="52">
        <v>15278042</v>
      </c>
      <c r="F22" s="52">
        <v>15283252</v>
      </c>
      <c r="G22" s="23" t="s">
        <v>46</v>
      </c>
      <c r="H22" s="52">
        <v>15369875</v>
      </c>
      <c r="I22" s="52">
        <v>15375085</v>
      </c>
      <c r="J22" s="53">
        <v>3.609</v>
      </c>
      <c r="K22" s="53">
        <v>3.5179999999999998</v>
      </c>
      <c r="L22" s="53">
        <v>7.1269999999999998</v>
      </c>
      <c r="M22" s="53">
        <v>-6.0000000000000001E-3</v>
      </c>
      <c r="N22" s="53">
        <v>9.0999999999999998E-2</v>
      </c>
      <c r="O22" s="53">
        <v>0.10199999999999999</v>
      </c>
      <c r="P22" s="53">
        <v>2.4E-2</v>
      </c>
      <c r="Q22" s="53">
        <v>0.154</v>
      </c>
      <c r="R22" s="53">
        <v>0.249</v>
      </c>
      <c r="S22" s="53">
        <v>1.3080000000000001</v>
      </c>
      <c r="T22" s="53">
        <v>1.0860000000000001</v>
      </c>
      <c r="U22" s="53">
        <v>1.1970000000000001</v>
      </c>
      <c r="V22" s="53">
        <v>0.193</v>
      </c>
    </row>
    <row r="23" spans="1:22" s="2" customFormat="1" x14ac:dyDescent="0.3">
      <c r="A23" s="54" t="s">
        <v>183</v>
      </c>
      <c r="B23" s="51" t="s">
        <v>153</v>
      </c>
      <c r="C23" s="54" t="s">
        <v>184</v>
      </c>
      <c r="D23" s="54" t="s">
        <v>46</v>
      </c>
      <c r="E23" s="56">
        <v>15287839</v>
      </c>
      <c r="F23" s="56">
        <v>15293149</v>
      </c>
      <c r="G23" s="54" t="s">
        <v>46</v>
      </c>
      <c r="H23" s="56">
        <v>15379672</v>
      </c>
      <c r="I23" s="56">
        <v>15384982</v>
      </c>
      <c r="J23" s="57">
        <v>1.115</v>
      </c>
      <c r="K23" s="57">
        <v>3.1890000000000001</v>
      </c>
      <c r="L23" s="57">
        <v>4.3040000000000003</v>
      </c>
      <c r="M23" s="57">
        <v>-1.2999999999999999E-2</v>
      </c>
      <c r="N23" s="57">
        <v>6.9000000000000006E-2</v>
      </c>
      <c r="O23" s="57">
        <v>5.7000000000000002E-2</v>
      </c>
      <c r="P23" s="57">
        <v>1.4999999999999999E-2</v>
      </c>
      <c r="Q23" s="57">
        <v>0.52900000000000003</v>
      </c>
      <c r="R23" s="57">
        <v>0.122</v>
      </c>
      <c r="S23" s="57">
        <v>0.86199999999999999</v>
      </c>
      <c r="T23" s="57">
        <v>0.873</v>
      </c>
      <c r="U23" s="57">
        <v>0.86799999999999999</v>
      </c>
      <c r="V23" s="57">
        <v>0.126</v>
      </c>
    </row>
    <row r="24" spans="1:22" s="2" customFormat="1" x14ac:dyDescent="0.3">
      <c r="A24" s="23" t="s">
        <v>185</v>
      </c>
      <c r="B24" s="51" t="s">
        <v>153</v>
      </c>
      <c r="C24" s="23" t="s">
        <v>186</v>
      </c>
      <c r="D24" s="23" t="s">
        <v>46</v>
      </c>
      <c r="E24" s="52">
        <v>15377985</v>
      </c>
      <c r="F24" s="52">
        <v>15382881</v>
      </c>
      <c r="G24" s="23" t="s">
        <v>46</v>
      </c>
      <c r="H24" s="52">
        <v>15469818</v>
      </c>
      <c r="I24" s="52">
        <v>15474714</v>
      </c>
      <c r="J24" s="53">
        <v>2.8730000000000002</v>
      </c>
      <c r="K24" s="53">
        <v>3.6219999999999999</v>
      </c>
      <c r="L24" s="53">
        <v>6.4939999999999998</v>
      </c>
      <c r="M24" s="53">
        <v>-2.1999999999999999E-2</v>
      </c>
      <c r="N24" s="53">
        <v>0.11799999999999999</v>
      </c>
      <c r="O24" s="53">
        <v>0.158</v>
      </c>
      <c r="P24" s="53">
        <v>3.2000000000000001E-2</v>
      </c>
      <c r="Q24" s="53">
        <v>0.73399999999999999</v>
      </c>
      <c r="R24" s="53">
        <v>0.438</v>
      </c>
      <c r="S24" s="53">
        <v>1.1719999999999999</v>
      </c>
      <c r="T24" s="53">
        <v>1.0289999999999999</v>
      </c>
      <c r="U24" s="53">
        <v>1.1000000000000001</v>
      </c>
      <c r="V24" s="53">
        <v>0.27600000000000002</v>
      </c>
    </row>
    <row r="25" spans="1:22" s="2" customFormat="1" x14ac:dyDescent="0.3">
      <c r="A25" s="54" t="s">
        <v>187</v>
      </c>
      <c r="B25" s="51" t="s">
        <v>153</v>
      </c>
      <c r="C25" s="54" t="s">
        <v>188</v>
      </c>
      <c r="D25" s="54" t="s">
        <v>46</v>
      </c>
      <c r="E25" s="56">
        <v>15391180</v>
      </c>
      <c r="F25" s="56">
        <v>15395886</v>
      </c>
      <c r="G25" s="54" t="s">
        <v>46</v>
      </c>
      <c r="H25" s="56">
        <v>15483013</v>
      </c>
      <c r="I25" s="56">
        <v>15487719</v>
      </c>
      <c r="J25" s="57">
        <v>6.8330000000000002</v>
      </c>
      <c r="K25" s="57">
        <v>3.5259999999999998</v>
      </c>
      <c r="L25" s="57">
        <v>10.359</v>
      </c>
      <c r="M25" s="57">
        <v>1.4E-2</v>
      </c>
      <c r="N25" s="57">
        <v>0.66100000000000003</v>
      </c>
      <c r="O25" s="57">
        <v>0.33900000000000002</v>
      </c>
      <c r="P25" s="57">
        <v>0.28299999999999997</v>
      </c>
      <c r="Q25" s="57">
        <v>1.0999999999999999E-2</v>
      </c>
      <c r="R25" s="57">
        <v>0.51700000000000002</v>
      </c>
      <c r="S25" s="57">
        <v>2.19</v>
      </c>
      <c r="T25" s="57">
        <v>2.5790000000000002</v>
      </c>
      <c r="U25" s="57">
        <v>2.3849999999999998</v>
      </c>
      <c r="V25" s="57">
        <v>1</v>
      </c>
    </row>
    <row r="26" spans="1:22" s="2" customFormat="1" x14ac:dyDescent="0.3">
      <c r="A26" s="23" t="s">
        <v>189</v>
      </c>
      <c r="B26" s="51" t="s">
        <v>153</v>
      </c>
      <c r="C26" s="23" t="s">
        <v>188</v>
      </c>
      <c r="D26" s="23" t="s">
        <v>46</v>
      </c>
      <c r="E26" s="52">
        <v>15394344</v>
      </c>
      <c r="F26" s="52">
        <v>15396348</v>
      </c>
      <c r="G26" s="23" t="s">
        <v>46</v>
      </c>
      <c r="H26" s="52">
        <v>15486177</v>
      </c>
      <c r="I26" s="52">
        <v>15488181</v>
      </c>
      <c r="J26" s="53">
        <v>9.6069999999999993</v>
      </c>
      <c r="K26" s="53">
        <v>4.7859999999999996</v>
      </c>
      <c r="L26" s="53">
        <v>14.394</v>
      </c>
      <c r="M26" s="53">
        <v>3.2000000000000001E-2</v>
      </c>
      <c r="N26" s="53">
        <v>1.216</v>
      </c>
      <c r="O26" s="53">
        <v>0.56799999999999995</v>
      </c>
      <c r="P26" s="53">
        <v>0.66900000000000004</v>
      </c>
      <c r="Q26" s="53">
        <v>1.1599999999999999</v>
      </c>
      <c r="R26" s="53">
        <v>0.749</v>
      </c>
      <c r="S26" s="53">
        <v>3.544</v>
      </c>
      <c r="T26" s="53">
        <v>3.9470000000000001</v>
      </c>
      <c r="U26" s="53">
        <v>3.7450000000000001</v>
      </c>
      <c r="V26" s="53">
        <v>1.784</v>
      </c>
    </row>
    <row r="27" spans="1:22" s="2" customFormat="1" x14ac:dyDescent="0.3">
      <c r="A27" s="54" t="s">
        <v>190</v>
      </c>
      <c r="B27" s="51" t="s">
        <v>153</v>
      </c>
      <c r="C27" s="54" t="s">
        <v>191</v>
      </c>
      <c r="D27" s="54" t="s">
        <v>46</v>
      </c>
      <c r="E27" s="56">
        <v>15418100</v>
      </c>
      <c r="F27" s="56">
        <v>15423221</v>
      </c>
      <c r="G27" s="54" t="s">
        <v>46</v>
      </c>
      <c r="H27" s="56">
        <v>15509933</v>
      </c>
      <c r="I27" s="56">
        <v>15515054</v>
      </c>
      <c r="J27" s="57">
        <v>5.1420000000000003</v>
      </c>
      <c r="K27" s="57">
        <v>3.1619999999999999</v>
      </c>
      <c r="L27" s="57">
        <v>8.3040000000000003</v>
      </c>
      <c r="M27" s="57">
        <v>-1.2E-2</v>
      </c>
      <c r="N27" s="57">
        <v>0.376</v>
      </c>
      <c r="O27" s="57">
        <v>0.19500000000000001</v>
      </c>
      <c r="P27" s="57">
        <v>0.14799999999999999</v>
      </c>
      <c r="Q27" s="57">
        <v>2.1579999999999999</v>
      </c>
      <c r="R27" s="57">
        <v>0.44500000000000001</v>
      </c>
      <c r="S27" s="57">
        <v>2.4820000000000002</v>
      </c>
      <c r="T27" s="57">
        <v>1.863</v>
      </c>
      <c r="U27" s="57">
        <v>2.173</v>
      </c>
      <c r="V27" s="57">
        <v>0.57099999999999995</v>
      </c>
    </row>
    <row r="28" spans="1:22" s="2" customFormat="1" x14ac:dyDescent="0.3">
      <c r="A28" s="23" t="s">
        <v>192</v>
      </c>
      <c r="B28" s="51" t="s">
        <v>153</v>
      </c>
      <c r="C28" s="23" t="s">
        <v>193</v>
      </c>
      <c r="D28" s="23" t="s">
        <v>46</v>
      </c>
      <c r="E28" s="52">
        <v>15422724</v>
      </c>
      <c r="F28" s="52">
        <v>15427678</v>
      </c>
      <c r="G28" s="23" t="s">
        <v>46</v>
      </c>
      <c r="H28" s="52">
        <v>15514557</v>
      </c>
      <c r="I28" s="52">
        <v>15519511</v>
      </c>
      <c r="J28" s="53">
        <v>3.0609999999999999</v>
      </c>
      <c r="K28" s="53">
        <v>2.371</v>
      </c>
      <c r="L28" s="53">
        <v>5.4320000000000004</v>
      </c>
      <c r="M28" s="53">
        <v>5.0000000000000001E-3</v>
      </c>
      <c r="N28" s="53">
        <v>0.39700000000000002</v>
      </c>
      <c r="O28" s="53">
        <v>0.23200000000000001</v>
      </c>
      <c r="P28" s="53">
        <v>0.24</v>
      </c>
      <c r="Q28" s="53">
        <v>3.0529999999999999</v>
      </c>
      <c r="R28" s="53">
        <v>0.36299999999999999</v>
      </c>
      <c r="S28" s="53">
        <v>2.0830000000000002</v>
      </c>
      <c r="T28" s="53">
        <v>1.544</v>
      </c>
      <c r="U28" s="53">
        <v>1.8129999999999999</v>
      </c>
      <c r="V28" s="53">
        <v>0.629</v>
      </c>
    </row>
    <row r="29" spans="1:22" s="2" customFormat="1" x14ac:dyDescent="0.3">
      <c r="A29" s="54" t="s">
        <v>22</v>
      </c>
      <c r="B29" s="55" t="s">
        <v>155</v>
      </c>
      <c r="C29" s="54" t="s">
        <v>156</v>
      </c>
      <c r="D29" s="54" t="s">
        <v>46</v>
      </c>
      <c r="E29" s="56">
        <v>15433884</v>
      </c>
      <c r="F29" s="56">
        <v>15439151</v>
      </c>
      <c r="G29" s="54" t="s">
        <v>46</v>
      </c>
      <c r="H29" s="56">
        <v>15525717</v>
      </c>
      <c r="I29" s="56">
        <v>15530984</v>
      </c>
      <c r="J29" s="57">
        <v>7.5999999999999998E-2</v>
      </c>
      <c r="K29" s="57">
        <v>0.35899999999999999</v>
      </c>
      <c r="L29" s="57">
        <v>0.435</v>
      </c>
      <c r="M29" s="57">
        <v>-1.0999999999999999E-2</v>
      </c>
      <c r="N29" s="57">
        <v>7.0000000000000001E-3</v>
      </c>
      <c r="O29" s="57">
        <v>2E-3</v>
      </c>
      <c r="P29" s="57">
        <v>0</v>
      </c>
      <c r="Q29" s="57">
        <v>0.156</v>
      </c>
      <c r="R29" s="57">
        <v>0</v>
      </c>
      <c r="S29" s="57">
        <v>0.03</v>
      </c>
      <c r="T29" s="57">
        <v>0.12</v>
      </c>
      <c r="U29" s="57">
        <v>7.4999999999999997E-2</v>
      </c>
      <c r="V29" s="57">
        <v>8.9999999999999993E-3</v>
      </c>
    </row>
    <row r="30" spans="1:22" s="2" customFormat="1" x14ac:dyDescent="0.3">
      <c r="A30" s="23" t="s">
        <v>23</v>
      </c>
      <c r="B30" s="55" t="s">
        <v>155</v>
      </c>
      <c r="C30" s="23" t="s">
        <v>156</v>
      </c>
      <c r="D30" s="23" t="s">
        <v>46</v>
      </c>
      <c r="E30" s="52">
        <v>15434539</v>
      </c>
      <c r="F30" s="52">
        <v>15436055</v>
      </c>
      <c r="G30" s="23" t="s">
        <v>46</v>
      </c>
      <c r="H30" s="52">
        <v>15526372</v>
      </c>
      <c r="I30" s="52">
        <v>15527888</v>
      </c>
      <c r="J30" s="53">
        <v>0</v>
      </c>
      <c r="K30" s="53">
        <v>0</v>
      </c>
      <c r="L30" s="53">
        <v>0</v>
      </c>
      <c r="M30" s="53">
        <v>-1.4E-2</v>
      </c>
      <c r="N30" s="53">
        <v>0</v>
      </c>
      <c r="O30" s="53">
        <v>0</v>
      </c>
      <c r="P30" s="53">
        <v>0</v>
      </c>
      <c r="Q30" s="53">
        <v>5.8000000000000003E-2</v>
      </c>
      <c r="R30" s="53">
        <v>0</v>
      </c>
      <c r="S30" s="53">
        <v>0</v>
      </c>
      <c r="T30" s="53">
        <v>0</v>
      </c>
      <c r="U30" s="53">
        <v>0</v>
      </c>
      <c r="V30" s="53">
        <v>0</v>
      </c>
    </row>
    <row r="31" spans="1:22" s="2" customFormat="1" x14ac:dyDescent="0.3">
      <c r="A31" s="54" t="s">
        <v>194</v>
      </c>
      <c r="B31" s="51" t="s">
        <v>153</v>
      </c>
      <c r="C31" s="54" t="s">
        <v>195</v>
      </c>
      <c r="D31" s="54" t="s">
        <v>46</v>
      </c>
      <c r="E31" s="56">
        <v>15441031</v>
      </c>
      <c r="F31" s="56">
        <v>15447769</v>
      </c>
      <c r="G31" s="54" t="s">
        <v>46</v>
      </c>
      <c r="H31" s="56">
        <v>15532864</v>
      </c>
      <c r="I31" s="56">
        <v>15539602</v>
      </c>
      <c r="J31" s="57">
        <v>11.723000000000001</v>
      </c>
      <c r="K31" s="57">
        <v>3.5880000000000001</v>
      </c>
      <c r="L31" s="57">
        <v>15.311</v>
      </c>
      <c r="M31" s="57">
        <v>2E-3</v>
      </c>
      <c r="N31" s="57">
        <v>0.81799999999999995</v>
      </c>
      <c r="O31" s="57">
        <v>0.38600000000000001</v>
      </c>
      <c r="P31" s="57">
        <v>0.193</v>
      </c>
      <c r="Q31" s="57">
        <v>2.093</v>
      </c>
      <c r="R31" s="57">
        <v>0.312</v>
      </c>
      <c r="S31" s="57">
        <v>2.4140000000000001</v>
      </c>
      <c r="T31" s="57">
        <v>2.4750000000000001</v>
      </c>
      <c r="U31" s="57">
        <v>2.4449999999999998</v>
      </c>
      <c r="V31" s="57">
        <v>1.204</v>
      </c>
    </row>
    <row r="32" spans="1:22" s="2" customFormat="1" x14ac:dyDescent="0.3">
      <c r="A32" s="23" t="s">
        <v>16</v>
      </c>
      <c r="B32" s="55" t="s">
        <v>155</v>
      </c>
      <c r="C32" s="23" t="s">
        <v>156</v>
      </c>
      <c r="D32" s="23" t="s">
        <v>46</v>
      </c>
      <c r="E32" s="52">
        <v>15446547</v>
      </c>
      <c r="F32" s="52">
        <v>15451946</v>
      </c>
      <c r="G32" s="23" t="s">
        <v>46</v>
      </c>
      <c r="H32" s="52">
        <v>15538380</v>
      </c>
      <c r="I32" s="52">
        <v>15543779</v>
      </c>
      <c r="J32" s="53">
        <v>3.88</v>
      </c>
      <c r="K32" s="53">
        <v>2.9009999999999998</v>
      </c>
      <c r="L32" s="53">
        <v>6.7809999999999997</v>
      </c>
      <c r="M32" s="53">
        <v>-1.4E-2</v>
      </c>
      <c r="N32" s="53">
        <v>0.29499999999999998</v>
      </c>
      <c r="O32" s="53">
        <v>0.19900000000000001</v>
      </c>
      <c r="P32" s="53">
        <v>5.6000000000000001E-2</v>
      </c>
      <c r="Q32" s="53">
        <v>0.68</v>
      </c>
      <c r="R32" s="53">
        <v>0.29799999999999999</v>
      </c>
      <c r="S32" s="53">
        <v>1.4</v>
      </c>
      <c r="T32" s="53">
        <v>1.3149999999999999</v>
      </c>
      <c r="U32" s="53">
        <v>1.357</v>
      </c>
      <c r="V32" s="53">
        <v>0.49399999999999999</v>
      </c>
    </row>
    <row r="33" spans="1:22" s="2" customFormat="1" x14ac:dyDescent="0.3">
      <c r="A33" s="54" t="s">
        <v>196</v>
      </c>
      <c r="B33" s="51" t="s">
        <v>153</v>
      </c>
      <c r="C33" s="54" t="s">
        <v>197</v>
      </c>
      <c r="D33" s="54" t="s">
        <v>46</v>
      </c>
      <c r="E33" s="56">
        <v>15464300</v>
      </c>
      <c r="F33" s="56">
        <v>15470736</v>
      </c>
      <c r="G33" s="54" t="s">
        <v>46</v>
      </c>
      <c r="H33" s="56">
        <v>15556133</v>
      </c>
      <c r="I33" s="56">
        <v>15562569</v>
      </c>
      <c r="J33" s="57">
        <v>45.774999999999999</v>
      </c>
      <c r="K33" s="57">
        <v>18.553000000000001</v>
      </c>
      <c r="L33" s="57">
        <v>64.328000000000003</v>
      </c>
      <c r="M33" s="57">
        <v>8.8999999999999996E-2</v>
      </c>
      <c r="N33" s="57">
        <v>1.36</v>
      </c>
      <c r="O33" s="57">
        <v>1.095</v>
      </c>
      <c r="P33" s="57">
        <v>6.7329999999999997</v>
      </c>
      <c r="Q33" s="57">
        <v>1.4570000000000001</v>
      </c>
      <c r="R33" s="57">
        <v>0.61099999999999999</v>
      </c>
      <c r="S33" s="57">
        <v>4.3419999999999996</v>
      </c>
      <c r="T33" s="57">
        <v>4.4960000000000004</v>
      </c>
      <c r="U33" s="57">
        <v>4.4189999999999996</v>
      </c>
      <c r="V33" s="57">
        <v>2.456</v>
      </c>
    </row>
    <row r="34" spans="1:22" s="2" customFormat="1" x14ac:dyDescent="0.3">
      <c r="A34" s="23" t="s">
        <v>198</v>
      </c>
      <c r="B34" s="51" t="s">
        <v>153</v>
      </c>
      <c r="C34" s="23" t="s">
        <v>199</v>
      </c>
      <c r="D34" s="23" t="s">
        <v>46</v>
      </c>
      <c r="E34" s="52">
        <v>15483222</v>
      </c>
      <c r="F34" s="52">
        <v>15488000</v>
      </c>
      <c r="G34" s="23" t="s">
        <v>46</v>
      </c>
      <c r="H34" s="52">
        <v>15575055</v>
      </c>
      <c r="I34" s="52">
        <v>15579833</v>
      </c>
      <c r="J34" s="53">
        <v>9.7609999999999992</v>
      </c>
      <c r="K34" s="53">
        <v>5.2130000000000001</v>
      </c>
      <c r="L34" s="53">
        <v>14.974</v>
      </c>
      <c r="M34" s="53">
        <v>1.2999999999999999E-2</v>
      </c>
      <c r="N34" s="53">
        <v>0.60199999999999998</v>
      </c>
      <c r="O34" s="53">
        <v>0.24399999999999999</v>
      </c>
      <c r="P34" s="53">
        <v>7.6999999999999999E-2</v>
      </c>
      <c r="Q34" s="53">
        <v>8.4000000000000005E-2</v>
      </c>
      <c r="R34" s="53">
        <v>0.314</v>
      </c>
      <c r="S34" s="53">
        <v>2.0150000000000001</v>
      </c>
      <c r="T34" s="53">
        <v>2.1120000000000001</v>
      </c>
      <c r="U34" s="53">
        <v>2.0640000000000001</v>
      </c>
      <c r="V34" s="53">
        <v>0.84599999999999997</v>
      </c>
    </row>
    <row r="35" spans="1:22" s="2" customFormat="1" x14ac:dyDescent="0.3">
      <c r="A35" s="54" t="s">
        <v>200</v>
      </c>
      <c r="B35" s="51" t="s">
        <v>153</v>
      </c>
      <c r="C35" s="54" t="s">
        <v>163</v>
      </c>
      <c r="D35" s="54" t="s">
        <v>46</v>
      </c>
      <c r="E35" s="56">
        <v>15485450</v>
      </c>
      <c r="F35" s="56">
        <v>15487169</v>
      </c>
      <c r="G35" s="54" t="s">
        <v>46</v>
      </c>
      <c r="H35" s="56">
        <v>15577283</v>
      </c>
      <c r="I35" s="56">
        <v>15579002</v>
      </c>
      <c r="J35" s="57">
        <v>6.8449999999999998</v>
      </c>
      <c r="K35" s="57">
        <v>3.952</v>
      </c>
      <c r="L35" s="57">
        <v>10.797000000000001</v>
      </c>
      <c r="M35" s="57">
        <v>1.9E-2</v>
      </c>
      <c r="N35" s="57">
        <v>0.58899999999999997</v>
      </c>
      <c r="O35" s="57">
        <v>0.16400000000000001</v>
      </c>
      <c r="P35" s="57">
        <v>0.123</v>
      </c>
      <c r="Q35" s="57">
        <v>0.17499999999999999</v>
      </c>
      <c r="R35" s="57">
        <v>0.183</v>
      </c>
      <c r="S35" s="57">
        <v>1.595</v>
      </c>
      <c r="T35" s="57">
        <v>2.1789999999999998</v>
      </c>
      <c r="U35" s="57">
        <v>1.887</v>
      </c>
      <c r="V35" s="57">
        <v>0.753</v>
      </c>
    </row>
    <row r="36" spans="1:22" s="2" customFormat="1" x14ac:dyDescent="0.3">
      <c r="A36" s="23" t="s">
        <v>201</v>
      </c>
      <c r="B36" s="51" t="s">
        <v>153</v>
      </c>
      <c r="C36" s="23" t="s">
        <v>202</v>
      </c>
      <c r="D36" s="23" t="s">
        <v>46</v>
      </c>
      <c r="E36" s="52">
        <v>15535420</v>
      </c>
      <c r="F36" s="52">
        <v>15540093</v>
      </c>
      <c r="G36" s="23" t="s">
        <v>46</v>
      </c>
      <c r="H36" s="52">
        <v>15627253</v>
      </c>
      <c r="I36" s="52">
        <v>15631926</v>
      </c>
      <c r="J36" s="53">
        <v>11.97</v>
      </c>
      <c r="K36" s="53">
        <v>5.1440000000000001</v>
      </c>
      <c r="L36" s="53">
        <v>17.114999999999998</v>
      </c>
      <c r="M36" s="53">
        <v>-8.0000000000000002E-3</v>
      </c>
      <c r="N36" s="53">
        <v>0.51100000000000001</v>
      </c>
      <c r="O36" s="53">
        <v>0.20399999999999999</v>
      </c>
      <c r="P36" s="53">
        <v>6.8000000000000005E-2</v>
      </c>
      <c r="Q36" s="53">
        <v>9.8000000000000004E-2</v>
      </c>
      <c r="R36" s="53">
        <v>0.33400000000000002</v>
      </c>
      <c r="S36" s="53">
        <v>2.323</v>
      </c>
      <c r="T36" s="53">
        <v>1.536</v>
      </c>
      <c r="U36" s="53">
        <v>1.929</v>
      </c>
      <c r="V36" s="53">
        <v>0.71499999999999997</v>
      </c>
    </row>
    <row r="37" spans="1:22" s="2" customFormat="1" x14ac:dyDescent="0.3">
      <c r="A37" s="54" t="s">
        <v>203</v>
      </c>
      <c r="B37" s="51" t="s">
        <v>153</v>
      </c>
      <c r="C37" s="54" t="s">
        <v>182</v>
      </c>
      <c r="D37" s="54" t="s">
        <v>46</v>
      </c>
      <c r="E37" s="56">
        <v>15539213</v>
      </c>
      <c r="F37" s="56">
        <v>15545868</v>
      </c>
      <c r="G37" s="54" t="s">
        <v>46</v>
      </c>
      <c r="H37" s="56">
        <v>15631046</v>
      </c>
      <c r="I37" s="56">
        <v>15637701</v>
      </c>
      <c r="J37" s="57">
        <v>31.221</v>
      </c>
      <c r="K37" s="57">
        <v>6.8220000000000001</v>
      </c>
      <c r="L37" s="57">
        <v>38.042999999999999</v>
      </c>
      <c r="M37" s="57">
        <v>4.1000000000000002E-2</v>
      </c>
      <c r="N37" s="57">
        <v>1.41</v>
      </c>
      <c r="O37" s="57">
        <v>0.57199999999999995</v>
      </c>
      <c r="P37" s="57">
        <v>0.23499999999999999</v>
      </c>
      <c r="Q37" s="57">
        <v>3.0139999999999998</v>
      </c>
      <c r="R37" s="57">
        <v>0.42499999999999999</v>
      </c>
      <c r="S37" s="57">
        <v>2.88</v>
      </c>
      <c r="T37" s="57">
        <v>2.7909999999999999</v>
      </c>
      <c r="U37" s="57">
        <v>2.8359999999999999</v>
      </c>
      <c r="V37" s="57">
        <v>1.982</v>
      </c>
    </row>
    <row r="38" spans="1:22" s="2" customFormat="1" x14ac:dyDescent="0.3">
      <c r="A38" s="23" t="s">
        <v>204</v>
      </c>
      <c r="B38" s="51" t="s">
        <v>153</v>
      </c>
      <c r="C38" s="23" t="s">
        <v>205</v>
      </c>
      <c r="D38" s="23" t="s">
        <v>46</v>
      </c>
      <c r="E38" s="52">
        <v>15543030</v>
      </c>
      <c r="F38" s="52">
        <v>15545008</v>
      </c>
      <c r="G38" s="23" t="s">
        <v>46</v>
      </c>
      <c r="H38" s="52">
        <v>15634863</v>
      </c>
      <c r="I38" s="52">
        <v>15636841</v>
      </c>
      <c r="J38" s="53">
        <v>79.37</v>
      </c>
      <c r="K38" s="53">
        <v>12.303000000000001</v>
      </c>
      <c r="L38" s="53">
        <v>91.673000000000002</v>
      </c>
      <c r="M38" s="53">
        <v>7.0000000000000007E-2</v>
      </c>
      <c r="N38" s="53">
        <v>1.7989999999999999</v>
      </c>
      <c r="O38" s="53">
        <v>0.64800000000000002</v>
      </c>
      <c r="P38" s="53">
        <v>0.40600000000000003</v>
      </c>
      <c r="Q38" s="53">
        <v>4.53</v>
      </c>
      <c r="R38" s="53">
        <v>0.45500000000000002</v>
      </c>
      <c r="S38" s="53">
        <v>3.2309999999999999</v>
      </c>
      <c r="T38" s="53">
        <v>4.0019999999999998</v>
      </c>
      <c r="U38" s="53">
        <v>3.617</v>
      </c>
      <c r="V38" s="53">
        <v>2.4470000000000001</v>
      </c>
    </row>
    <row r="39" spans="1:22" s="2" customFormat="1" x14ac:dyDescent="0.3">
      <c r="A39" s="54" t="s">
        <v>9</v>
      </c>
      <c r="B39" s="55" t="s">
        <v>155</v>
      </c>
      <c r="C39" s="54" t="s">
        <v>156</v>
      </c>
      <c r="D39" s="54" t="s">
        <v>46</v>
      </c>
      <c r="E39" s="56">
        <v>15549343</v>
      </c>
      <c r="F39" s="56">
        <v>15550462</v>
      </c>
      <c r="G39" s="54" t="s">
        <v>46</v>
      </c>
      <c r="H39" s="56">
        <v>15641176</v>
      </c>
      <c r="I39" s="56">
        <v>15642295</v>
      </c>
      <c r="J39" s="57">
        <v>23.937000000000001</v>
      </c>
      <c r="K39" s="57">
        <v>6.859</v>
      </c>
      <c r="L39" s="57">
        <v>30.795999999999999</v>
      </c>
      <c r="M39" s="57">
        <v>0.104</v>
      </c>
      <c r="N39" s="57">
        <v>1.528</v>
      </c>
      <c r="O39" s="57">
        <v>0.56100000000000005</v>
      </c>
      <c r="P39" s="57">
        <v>0.19600000000000001</v>
      </c>
      <c r="Q39" s="57">
        <v>4.1740000000000004</v>
      </c>
      <c r="R39" s="57">
        <v>0.54100000000000004</v>
      </c>
      <c r="S39" s="57">
        <v>5.1379999999999999</v>
      </c>
      <c r="T39" s="57">
        <v>6.0330000000000004</v>
      </c>
      <c r="U39" s="57">
        <v>5.585</v>
      </c>
      <c r="V39" s="57">
        <v>2.089</v>
      </c>
    </row>
    <row r="40" spans="1:22" s="2" customFormat="1" x14ac:dyDescent="0.3">
      <c r="A40" s="23" t="s">
        <v>206</v>
      </c>
      <c r="B40" s="51" t="s">
        <v>153</v>
      </c>
      <c r="C40" s="23" t="s">
        <v>207</v>
      </c>
      <c r="D40" s="23" t="s">
        <v>46</v>
      </c>
      <c r="E40" s="52">
        <v>15553755</v>
      </c>
      <c r="F40" s="52">
        <v>15558617</v>
      </c>
      <c r="G40" s="23" t="s">
        <v>46</v>
      </c>
      <c r="H40" s="52">
        <v>15645588</v>
      </c>
      <c r="I40" s="52">
        <v>15650450</v>
      </c>
      <c r="J40" s="53">
        <v>5.173</v>
      </c>
      <c r="K40" s="53">
        <v>3.51</v>
      </c>
      <c r="L40" s="53">
        <v>8.6839999999999993</v>
      </c>
      <c r="M40" s="53">
        <v>2E-3</v>
      </c>
      <c r="N40" s="53">
        <v>0.54</v>
      </c>
      <c r="O40" s="53">
        <v>0.39700000000000002</v>
      </c>
      <c r="P40" s="53">
        <v>9.1999999999999998E-2</v>
      </c>
      <c r="Q40" s="53">
        <v>1.6279999999999999</v>
      </c>
      <c r="R40" s="53">
        <v>0.37</v>
      </c>
      <c r="S40" s="53">
        <v>1.645</v>
      </c>
      <c r="T40" s="53">
        <v>1.6240000000000001</v>
      </c>
      <c r="U40" s="53">
        <v>1.6339999999999999</v>
      </c>
      <c r="V40" s="53">
        <v>0.93700000000000006</v>
      </c>
    </row>
    <row r="41" spans="1:22" s="2" customFormat="1" x14ac:dyDescent="0.3">
      <c r="A41" s="54" t="s">
        <v>13</v>
      </c>
      <c r="B41" s="55" t="s">
        <v>155</v>
      </c>
      <c r="C41" s="54" t="s">
        <v>156</v>
      </c>
      <c r="D41" s="54" t="s">
        <v>46</v>
      </c>
      <c r="E41" s="56">
        <v>15561789</v>
      </c>
      <c r="F41" s="56">
        <v>15567045</v>
      </c>
      <c r="G41" s="54" t="s">
        <v>46</v>
      </c>
      <c r="H41" s="56">
        <v>15653622</v>
      </c>
      <c r="I41" s="56">
        <v>15658878</v>
      </c>
      <c r="J41" s="57">
        <v>5.1710000000000003</v>
      </c>
      <c r="K41" s="57">
        <v>3.5830000000000002</v>
      </c>
      <c r="L41" s="57">
        <v>8.7539999999999996</v>
      </c>
      <c r="M41" s="57">
        <v>-6.0000000000000001E-3</v>
      </c>
      <c r="N41" s="57">
        <v>0.43099999999999999</v>
      </c>
      <c r="O41" s="57">
        <v>0.24199999999999999</v>
      </c>
      <c r="P41" s="57">
        <v>0.05</v>
      </c>
      <c r="Q41" s="57">
        <v>2.14</v>
      </c>
      <c r="R41" s="57">
        <v>0.34499999999999997</v>
      </c>
      <c r="S41" s="57">
        <v>2.3039999999999998</v>
      </c>
      <c r="T41" s="57">
        <v>1.7410000000000001</v>
      </c>
      <c r="U41" s="57">
        <v>2.0219999999999998</v>
      </c>
      <c r="V41" s="57">
        <v>0.67400000000000004</v>
      </c>
    </row>
    <row r="42" spans="1:22" s="2" customFormat="1" x14ac:dyDescent="0.3">
      <c r="A42" s="23" t="s">
        <v>208</v>
      </c>
      <c r="B42" s="51" t="s">
        <v>153</v>
      </c>
      <c r="C42" s="23" t="s">
        <v>209</v>
      </c>
      <c r="D42" s="23" t="s">
        <v>46</v>
      </c>
      <c r="E42" s="52">
        <v>15566505</v>
      </c>
      <c r="F42" s="52">
        <v>15571780</v>
      </c>
      <c r="G42" s="23" t="s">
        <v>46</v>
      </c>
      <c r="H42" s="52">
        <v>15658338</v>
      </c>
      <c r="I42" s="52">
        <v>15663613</v>
      </c>
      <c r="J42" s="53">
        <v>3.681</v>
      </c>
      <c r="K42" s="53">
        <v>4.1219999999999999</v>
      </c>
      <c r="L42" s="53">
        <v>7.8040000000000003</v>
      </c>
      <c r="M42" s="53">
        <v>-1.6E-2</v>
      </c>
      <c r="N42" s="53">
        <v>0.378</v>
      </c>
      <c r="O42" s="53">
        <v>0.251</v>
      </c>
      <c r="P42" s="53">
        <v>0.111</v>
      </c>
      <c r="Q42" s="53">
        <v>4.3319999999999999</v>
      </c>
      <c r="R42" s="53">
        <v>0.39800000000000002</v>
      </c>
      <c r="S42" s="53">
        <v>2.2000000000000002</v>
      </c>
      <c r="T42" s="53">
        <v>1.8480000000000001</v>
      </c>
      <c r="U42" s="53">
        <v>2.024</v>
      </c>
      <c r="V42" s="53">
        <v>0.629</v>
      </c>
    </row>
    <row r="43" spans="1:22" s="2" customFormat="1" x14ac:dyDescent="0.3">
      <c r="A43" s="54" t="s">
        <v>210</v>
      </c>
      <c r="B43" s="51" t="s">
        <v>153</v>
      </c>
      <c r="C43" s="54" t="s">
        <v>209</v>
      </c>
      <c r="D43" s="54" t="s">
        <v>46</v>
      </c>
      <c r="E43" s="56">
        <v>15570848</v>
      </c>
      <c r="F43" s="56">
        <v>15575700</v>
      </c>
      <c r="G43" s="54" t="s">
        <v>46</v>
      </c>
      <c r="H43" s="56">
        <v>15662681</v>
      </c>
      <c r="I43" s="56">
        <v>15667533</v>
      </c>
      <c r="J43" s="57">
        <v>4.1449999999999996</v>
      </c>
      <c r="K43" s="57">
        <v>2.629</v>
      </c>
      <c r="L43" s="57">
        <v>6.7750000000000004</v>
      </c>
      <c r="M43" s="57">
        <v>-8.9999999999999993E-3</v>
      </c>
      <c r="N43" s="57">
        <v>0.34</v>
      </c>
      <c r="O43" s="57">
        <v>0.27300000000000002</v>
      </c>
      <c r="P43" s="57">
        <v>6.9000000000000006E-2</v>
      </c>
      <c r="Q43" s="57">
        <v>5.1999999999999998E-2</v>
      </c>
      <c r="R43" s="57">
        <v>0.124</v>
      </c>
      <c r="S43" s="57">
        <v>2.0219999999999998</v>
      </c>
      <c r="T43" s="57">
        <v>1.7270000000000001</v>
      </c>
      <c r="U43" s="57">
        <v>1.8740000000000001</v>
      </c>
      <c r="V43" s="57">
        <v>0.61299999999999999</v>
      </c>
    </row>
    <row r="44" spans="1:22" s="2" customFormat="1" x14ac:dyDescent="0.3">
      <c r="A44" s="23" t="s">
        <v>211</v>
      </c>
      <c r="B44" s="51" t="s">
        <v>153</v>
      </c>
      <c r="C44" s="23" t="s">
        <v>212</v>
      </c>
      <c r="D44" s="23" t="s">
        <v>46</v>
      </c>
      <c r="E44" s="52">
        <v>15575346</v>
      </c>
      <c r="F44" s="52">
        <v>15580762</v>
      </c>
      <c r="G44" s="23" t="s">
        <v>46</v>
      </c>
      <c r="H44" s="52">
        <v>15667179</v>
      </c>
      <c r="I44" s="52">
        <v>15672595</v>
      </c>
      <c r="J44" s="53">
        <v>8.4830000000000005</v>
      </c>
      <c r="K44" s="53">
        <v>3.5720000000000001</v>
      </c>
      <c r="L44" s="53">
        <v>12.055</v>
      </c>
      <c r="M44" s="53">
        <v>4.1000000000000002E-2</v>
      </c>
      <c r="N44" s="53">
        <v>0.47599999999999998</v>
      </c>
      <c r="O44" s="53">
        <v>0.27100000000000002</v>
      </c>
      <c r="P44" s="53">
        <v>0.10100000000000001</v>
      </c>
      <c r="Q44" s="53">
        <v>5.2629999999999999</v>
      </c>
      <c r="R44" s="53">
        <v>0.38</v>
      </c>
      <c r="S44" s="53">
        <v>4.0330000000000004</v>
      </c>
      <c r="T44" s="53">
        <v>3.415</v>
      </c>
      <c r="U44" s="53">
        <v>3.7240000000000002</v>
      </c>
      <c r="V44" s="53">
        <v>0.747</v>
      </c>
    </row>
    <row r="45" spans="1:22" s="2" customFormat="1" x14ac:dyDescent="0.3">
      <c r="A45" s="54" t="s">
        <v>213</v>
      </c>
      <c r="B45" s="51" t="s">
        <v>153</v>
      </c>
      <c r="C45" s="54" t="s">
        <v>212</v>
      </c>
      <c r="D45" s="54" t="s">
        <v>46</v>
      </c>
      <c r="E45" s="56">
        <v>15575905</v>
      </c>
      <c r="F45" s="56">
        <v>15578740</v>
      </c>
      <c r="G45" s="54" t="s">
        <v>46</v>
      </c>
      <c r="H45" s="56">
        <v>15667738</v>
      </c>
      <c r="I45" s="56">
        <v>15670573</v>
      </c>
      <c r="J45" s="57">
        <v>12.593</v>
      </c>
      <c r="K45" s="57">
        <v>4.3689999999999998</v>
      </c>
      <c r="L45" s="57">
        <v>16.960999999999999</v>
      </c>
      <c r="M45" s="57">
        <v>7.2999999999999995E-2</v>
      </c>
      <c r="N45" s="57">
        <v>0.626</v>
      </c>
      <c r="O45" s="57">
        <v>0.377</v>
      </c>
      <c r="P45" s="57">
        <v>0.14899999999999999</v>
      </c>
      <c r="Q45" s="57">
        <v>3.246</v>
      </c>
      <c r="R45" s="57">
        <v>0.52900000000000003</v>
      </c>
      <c r="S45" s="57">
        <v>6.0149999999999997</v>
      </c>
      <c r="T45" s="57">
        <v>4.6020000000000003</v>
      </c>
      <c r="U45" s="57">
        <v>5.3079999999999998</v>
      </c>
      <c r="V45" s="57">
        <v>1.0029999999999999</v>
      </c>
    </row>
    <row r="46" spans="1:22" s="2" customFormat="1" x14ac:dyDescent="0.3">
      <c r="A46" s="23" t="s">
        <v>12</v>
      </c>
      <c r="B46" s="55" t="s">
        <v>155</v>
      </c>
      <c r="C46" s="23" t="s">
        <v>156</v>
      </c>
      <c r="D46" s="23" t="s">
        <v>46</v>
      </c>
      <c r="E46" s="52">
        <v>15610488</v>
      </c>
      <c r="F46" s="52">
        <v>15611188</v>
      </c>
      <c r="G46" s="23" t="s">
        <v>46</v>
      </c>
      <c r="H46" s="52">
        <v>15702321</v>
      </c>
      <c r="I46" s="52">
        <v>15703021</v>
      </c>
      <c r="J46" s="53">
        <v>11.473000000000001</v>
      </c>
      <c r="K46" s="53">
        <v>6.5590000000000002</v>
      </c>
      <c r="L46" s="53">
        <v>18.030999999999999</v>
      </c>
      <c r="M46" s="53">
        <v>2.8000000000000001E-2</v>
      </c>
      <c r="N46" s="53">
        <v>0.60099999999999998</v>
      </c>
      <c r="O46" s="53">
        <v>0.33700000000000002</v>
      </c>
      <c r="P46" s="53">
        <v>4.8000000000000001E-2</v>
      </c>
      <c r="Q46" s="53">
        <v>1.677</v>
      </c>
      <c r="R46" s="53">
        <v>0.85699999999999998</v>
      </c>
      <c r="S46" s="53">
        <v>3.4830000000000001</v>
      </c>
      <c r="T46" s="53">
        <v>2.9740000000000002</v>
      </c>
      <c r="U46" s="53">
        <v>3.2290000000000001</v>
      </c>
      <c r="V46" s="53">
        <v>0.93799999999999994</v>
      </c>
    </row>
    <row r="47" spans="1:22" s="2" customFormat="1" x14ac:dyDescent="0.3">
      <c r="A47" s="54" t="s">
        <v>214</v>
      </c>
      <c r="B47" s="51" t="s">
        <v>153</v>
      </c>
      <c r="C47" s="54" t="s">
        <v>215</v>
      </c>
      <c r="D47" s="54" t="s">
        <v>46</v>
      </c>
      <c r="E47" s="56">
        <v>15617321</v>
      </c>
      <c r="F47" s="56">
        <v>15622705</v>
      </c>
      <c r="G47" s="54" t="s">
        <v>46</v>
      </c>
      <c r="H47" s="56">
        <v>15709154</v>
      </c>
      <c r="I47" s="56">
        <v>15714538</v>
      </c>
      <c r="J47" s="57">
        <v>5.64</v>
      </c>
      <c r="K47" s="57">
        <v>4.4550000000000001</v>
      </c>
      <c r="L47" s="57">
        <v>10.095000000000001</v>
      </c>
      <c r="M47" s="57">
        <v>6.9000000000000006E-2</v>
      </c>
      <c r="N47" s="57">
        <v>0.47899999999999998</v>
      </c>
      <c r="O47" s="57">
        <v>0.30199999999999999</v>
      </c>
      <c r="P47" s="57">
        <v>5.0999999999999997E-2</v>
      </c>
      <c r="Q47" s="57">
        <v>1.792</v>
      </c>
      <c r="R47" s="57">
        <v>0.63800000000000001</v>
      </c>
      <c r="S47" s="57">
        <v>2.3839999999999999</v>
      </c>
      <c r="T47" s="57">
        <v>1.847</v>
      </c>
      <c r="U47" s="57">
        <v>2.1150000000000002</v>
      </c>
      <c r="V47" s="57">
        <v>0.78100000000000003</v>
      </c>
    </row>
    <row r="48" spans="1:22" s="2" customFormat="1" x14ac:dyDescent="0.3">
      <c r="A48" s="23" t="s">
        <v>11</v>
      </c>
      <c r="B48" s="55" t="s">
        <v>155</v>
      </c>
      <c r="C48" s="23" t="s">
        <v>156</v>
      </c>
      <c r="D48" s="23" t="s">
        <v>46</v>
      </c>
      <c r="E48" s="52">
        <v>15620962</v>
      </c>
      <c r="F48" s="52">
        <v>15621575</v>
      </c>
      <c r="G48" s="23" t="s">
        <v>46</v>
      </c>
      <c r="H48" s="52">
        <v>15712795</v>
      </c>
      <c r="I48" s="52">
        <v>15713408</v>
      </c>
      <c r="J48" s="53">
        <v>12.093</v>
      </c>
      <c r="K48" s="53">
        <v>6.86</v>
      </c>
      <c r="L48" s="53">
        <v>18.952999999999999</v>
      </c>
      <c r="M48" s="53">
        <v>0.27700000000000002</v>
      </c>
      <c r="N48" s="53">
        <v>0.68</v>
      </c>
      <c r="O48" s="53">
        <v>0.29699999999999999</v>
      </c>
      <c r="P48" s="53">
        <v>0.08</v>
      </c>
      <c r="Q48" s="53">
        <v>0</v>
      </c>
      <c r="R48" s="53">
        <v>2.8000000000000001E-2</v>
      </c>
      <c r="S48" s="53">
        <v>3.0289999999999999</v>
      </c>
      <c r="T48" s="53">
        <v>2.5379999999999998</v>
      </c>
      <c r="U48" s="53">
        <v>2.7839999999999998</v>
      </c>
      <c r="V48" s="53">
        <v>0.97699999999999998</v>
      </c>
    </row>
    <row r="49" spans="1:22" s="2" customFormat="1" x14ac:dyDescent="0.3">
      <c r="A49" s="54" t="s">
        <v>14</v>
      </c>
      <c r="B49" s="55" t="s">
        <v>155</v>
      </c>
      <c r="C49" s="54" t="s">
        <v>156</v>
      </c>
      <c r="D49" s="54" t="s">
        <v>46</v>
      </c>
      <c r="E49" s="56">
        <v>15658220</v>
      </c>
      <c r="F49" s="56">
        <v>15658910</v>
      </c>
      <c r="G49" s="54" t="s">
        <v>46</v>
      </c>
      <c r="H49" s="56">
        <v>15750053</v>
      </c>
      <c r="I49" s="56">
        <v>15750743</v>
      </c>
      <c r="J49" s="57">
        <v>3.1930000000000001</v>
      </c>
      <c r="K49" s="57">
        <v>6.4880000000000004</v>
      </c>
      <c r="L49" s="57">
        <v>9.6809999999999992</v>
      </c>
      <c r="M49" s="57">
        <v>2.5000000000000001E-2</v>
      </c>
      <c r="N49" s="57">
        <v>0.38200000000000001</v>
      </c>
      <c r="O49" s="57">
        <v>6.5000000000000002E-2</v>
      </c>
      <c r="P49" s="57">
        <v>2.9000000000000001E-2</v>
      </c>
      <c r="Q49" s="57">
        <v>0.14499999999999999</v>
      </c>
      <c r="R49" s="57">
        <v>0</v>
      </c>
      <c r="S49" s="57">
        <v>1.7929999999999999</v>
      </c>
      <c r="T49" s="57">
        <v>1.4870000000000001</v>
      </c>
      <c r="U49" s="57">
        <v>1.64</v>
      </c>
      <c r="V49" s="57">
        <v>0.44600000000000001</v>
      </c>
    </row>
    <row r="50" spans="1:22" s="2" customFormat="1" x14ac:dyDescent="0.3">
      <c r="A50" s="23" t="s">
        <v>216</v>
      </c>
      <c r="B50" s="51" t="s">
        <v>153</v>
      </c>
      <c r="C50" s="23" t="s">
        <v>197</v>
      </c>
      <c r="D50" s="23" t="s">
        <v>46</v>
      </c>
      <c r="E50" s="52">
        <v>15663622</v>
      </c>
      <c r="F50" s="52">
        <v>15670352</v>
      </c>
      <c r="G50" s="23" t="s">
        <v>46</v>
      </c>
      <c r="H50" s="52">
        <v>15755455</v>
      </c>
      <c r="I50" s="52">
        <v>15762185</v>
      </c>
      <c r="J50" s="53">
        <v>7.27</v>
      </c>
      <c r="K50" s="53">
        <v>3.907</v>
      </c>
      <c r="L50" s="53">
        <v>11.177</v>
      </c>
      <c r="M50" s="53">
        <v>4.5999999999999999E-2</v>
      </c>
      <c r="N50" s="53">
        <v>0.78300000000000003</v>
      </c>
      <c r="O50" s="53">
        <v>0.29499999999999998</v>
      </c>
      <c r="P50" s="53">
        <v>0.13500000000000001</v>
      </c>
      <c r="Q50" s="53">
        <v>0.245</v>
      </c>
      <c r="R50" s="53">
        <v>0.35299999999999998</v>
      </c>
      <c r="S50" s="53">
        <v>5.6029999999999998</v>
      </c>
      <c r="T50" s="53">
        <v>3.536</v>
      </c>
      <c r="U50" s="53">
        <v>4.569</v>
      </c>
      <c r="V50" s="53">
        <v>1.0780000000000001</v>
      </c>
    </row>
    <row r="51" spans="1:22" s="2" customFormat="1" x14ac:dyDescent="0.3">
      <c r="A51" s="54" t="s">
        <v>217</v>
      </c>
      <c r="B51" s="51" t="s">
        <v>153</v>
      </c>
      <c r="C51" s="54" t="s">
        <v>218</v>
      </c>
      <c r="D51" s="54" t="s">
        <v>46</v>
      </c>
      <c r="E51" s="56">
        <v>15664357</v>
      </c>
      <c r="F51" s="56">
        <v>15665305</v>
      </c>
      <c r="G51" s="54" t="s">
        <v>46</v>
      </c>
      <c r="H51" s="56">
        <v>15756190</v>
      </c>
      <c r="I51" s="56">
        <v>15757138</v>
      </c>
      <c r="J51" s="57">
        <v>20.268999999999998</v>
      </c>
      <c r="K51" s="57">
        <v>5.8929999999999998</v>
      </c>
      <c r="L51" s="57">
        <v>26.161999999999999</v>
      </c>
      <c r="M51" s="57">
        <v>0.23200000000000001</v>
      </c>
      <c r="N51" s="57">
        <v>1.6120000000000001</v>
      </c>
      <c r="O51" s="57">
        <v>0.43</v>
      </c>
      <c r="P51" s="57">
        <v>0.32800000000000001</v>
      </c>
      <c r="Q51" s="57">
        <v>5.2999999999999999E-2</v>
      </c>
      <c r="R51" s="57">
        <v>0.89800000000000002</v>
      </c>
      <c r="S51" s="57">
        <v>23.622</v>
      </c>
      <c r="T51" s="57">
        <v>12.916</v>
      </c>
      <c r="U51" s="57">
        <v>18.268999999999998</v>
      </c>
      <c r="V51" s="57">
        <v>2.0419999999999998</v>
      </c>
    </row>
    <row r="52" spans="1:22" s="2" customFormat="1" x14ac:dyDescent="0.3">
      <c r="A52" s="23" t="s">
        <v>15</v>
      </c>
      <c r="B52" s="55" t="s">
        <v>155</v>
      </c>
      <c r="C52" s="23" t="s">
        <v>156</v>
      </c>
      <c r="D52" s="23" t="s">
        <v>46</v>
      </c>
      <c r="E52" s="52">
        <v>15706515</v>
      </c>
      <c r="F52" s="52">
        <v>15706940</v>
      </c>
      <c r="G52" s="23" t="s">
        <v>46</v>
      </c>
      <c r="H52" s="52">
        <v>15798348</v>
      </c>
      <c r="I52" s="52">
        <v>15798773</v>
      </c>
      <c r="J52" s="53">
        <v>6.6849999999999996</v>
      </c>
      <c r="K52" s="53">
        <v>3.5950000000000002</v>
      </c>
      <c r="L52" s="53">
        <v>10.28</v>
      </c>
      <c r="M52" s="53">
        <v>-7.0000000000000001E-3</v>
      </c>
      <c r="N52" s="53">
        <v>0.28100000000000003</v>
      </c>
      <c r="O52" s="53">
        <v>9.5000000000000001E-2</v>
      </c>
      <c r="P52" s="53">
        <v>0</v>
      </c>
      <c r="Q52" s="53">
        <v>7.7229999999999999</v>
      </c>
      <c r="R52" s="53">
        <v>0.61399999999999999</v>
      </c>
      <c r="S52" s="53">
        <v>1.8540000000000001</v>
      </c>
      <c r="T52" s="53">
        <v>1.409</v>
      </c>
      <c r="U52" s="53">
        <v>1.6319999999999999</v>
      </c>
      <c r="V52" s="53">
        <v>0.377</v>
      </c>
    </row>
    <row r="53" spans="1:22" s="2" customFormat="1" x14ac:dyDescent="0.3">
      <c r="A53" s="54" t="s">
        <v>219</v>
      </c>
      <c r="B53" s="51" t="s">
        <v>153</v>
      </c>
      <c r="C53" s="54" t="s">
        <v>220</v>
      </c>
      <c r="D53" s="54" t="s">
        <v>46</v>
      </c>
      <c r="E53" s="56">
        <v>15706967</v>
      </c>
      <c r="F53" s="56">
        <v>15711848</v>
      </c>
      <c r="G53" s="54" t="s">
        <v>46</v>
      </c>
      <c r="H53" s="56">
        <v>15798800</v>
      </c>
      <c r="I53" s="56">
        <v>15803681</v>
      </c>
      <c r="J53" s="57">
        <v>6.87</v>
      </c>
      <c r="K53" s="57">
        <v>4.4669999999999996</v>
      </c>
      <c r="L53" s="57">
        <v>11.337</v>
      </c>
      <c r="M53" s="57">
        <v>-8.0000000000000002E-3</v>
      </c>
      <c r="N53" s="57">
        <v>0.32</v>
      </c>
      <c r="O53" s="57">
        <v>0.35399999999999998</v>
      </c>
      <c r="P53" s="57">
        <v>3.2000000000000001E-2</v>
      </c>
      <c r="Q53" s="57">
        <v>2.1999999999999999E-2</v>
      </c>
      <c r="R53" s="57">
        <v>0.31</v>
      </c>
      <c r="S53" s="57">
        <v>2.4670000000000001</v>
      </c>
      <c r="T53" s="57">
        <v>1.2789999999999999</v>
      </c>
      <c r="U53" s="57">
        <v>1.873</v>
      </c>
      <c r="V53" s="57">
        <v>0.67400000000000004</v>
      </c>
    </row>
    <row r="54" spans="1:22" s="2" customFormat="1" x14ac:dyDescent="0.3">
      <c r="A54" s="23" t="s">
        <v>221</v>
      </c>
      <c r="B54" s="51" t="s">
        <v>153</v>
      </c>
      <c r="C54" s="23" t="s">
        <v>182</v>
      </c>
      <c r="D54" s="23" t="s">
        <v>46</v>
      </c>
      <c r="E54" s="52">
        <v>15711741</v>
      </c>
      <c r="F54" s="52">
        <v>15716673</v>
      </c>
      <c r="G54" s="23" t="s">
        <v>46</v>
      </c>
      <c r="H54" s="52">
        <v>15803574</v>
      </c>
      <c r="I54" s="52">
        <v>15808506</v>
      </c>
      <c r="J54" s="53">
        <v>6.0220000000000002</v>
      </c>
      <c r="K54" s="53">
        <v>4.5940000000000003</v>
      </c>
      <c r="L54" s="53">
        <v>10.616</v>
      </c>
      <c r="M54" s="53">
        <v>-1.7999999999999999E-2</v>
      </c>
      <c r="N54" s="53">
        <v>0.20799999999999999</v>
      </c>
      <c r="O54" s="53">
        <v>0.18</v>
      </c>
      <c r="P54" s="53">
        <v>3.9E-2</v>
      </c>
      <c r="Q54" s="53">
        <v>3.234</v>
      </c>
      <c r="R54" s="53">
        <v>0.309</v>
      </c>
      <c r="S54" s="53">
        <v>2.2130000000000001</v>
      </c>
      <c r="T54" s="53">
        <v>1.304</v>
      </c>
      <c r="U54" s="53">
        <v>1.7589999999999999</v>
      </c>
      <c r="V54" s="53">
        <v>0.38800000000000001</v>
      </c>
    </row>
    <row r="55" spans="1:22" s="2" customFormat="1" x14ac:dyDescent="0.3">
      <c r="A55" s="54" t="s">
        <v>222</v>
      </c>
      <c r="B55" s="51" t="s">
        <v>153</v>
      </c>
      <c r="C55" s="54" t="s">
        <v>167</v>
      </c>
      <c r="D55" s="54" t="s">
        <v>46</v>
      </c>
      <c r="E55" s="56">
        <v>15754221</v>
      </c>
      <c r="F55" s="56">
        <v>15759133</v>
      </c>
      <c r="G55" s="54" t="s">
        <v>46</v>
      </c>
      <c r="H55" s="56">
        <v>15846054</v>
      </c>
      <c r="I55" s="56">
        <v>15850966</v>
      </c>
      <c r="J55" s="57">
        <v>4.7960000000000003</v>
      </c>
      <c r="K55" s="57">
        <v>3.6190000000000002</v>
      </c>
      <c r="L55" s="57">
        <v>8.4139999999999997</v>
      </c>
      <c r="M55" s="57">
        <v>-1.6E-2</v>
      </c>
      <c r="N55" s="57">
        <v>0.27200000000000002</v>
      </c>
      <c r="O55" s="57">
        <v>0.29799999999999999</v>
      </c>
      <c r="P55" s="57">
        <v>0.25</v>
      </c>
      <c r="Q55" s="57">
        <v>5.633</v>
      </c>
      <c r="R55" s="57">
        <v>0.36599999999999999</v>
      </c>
      <c r="S55" s="57">
        <v>1.7390000000000001</v>
      </c>
      <c r="T55" s="57">
        <v>1.341</v>
      </c>
      <c r="U55" s="57">
        <v>1.54</v>
      </c>
      <c r="V55" s="57">
        <v>0.56999999999999995</v>
      </c>
    </row>
    <row r="56" spans="1:22" s="2" customFormat="1" x14ac:dyDescent="0.3">
      <c r="A56" s="23" t="s">
        <v>223</v>
      </c>
      <c r="B56" s="51" t="s">
        <v>153</v>
      </c>
      <c r="C56" s="23" t="s">
        <v>186</v>
      </c>
      <c r="D56" s="23" t="s">
        <v>46</v>
      </c>
      <c r="E56" s="52">
        <v>15762279</v>
      </c>
      <c r="F56" s="52">
        <v>15766698</v>
      </c>
      <c r="G56" s="23" t="s">
        <v>46</v>
      </c>
      <c r="H56" s="52">
        <v>15854112</v>
      </c>
      <c r="I56" s="52">
        <v>15858531</v>
      </c>
      <c r="J56" s="53">
        <v>6.1779999999999999</v>
      </c>
      <c r="K56" s="53">
        <v>3.9670000000000001</v>
      </c>
      <c r="L56" s="53">
        <v>10.146000000000001</v>
      </c>
      <c r="M56" s="53">
        <v>7.0000000000000001E-3</v>
      </c>
      <c r="N56" s="53">
        <v>0.185</v>
      </c>
      <c r="O56" s="53">
        <v>0.23400000000000001</v>
      </c>
      <c r="P56" s="53">
        <v>2.3E-2</v>
      </c>
      <c r="Q56" s="53">
        <v>0.90700000000000003</v>
      </c>
      <c r="R56" s="53">
        <v>0.14000000000000001</v>
      </c>
      <c r="S56" s="53">
        <v>1.851</v>
      </c>
      <c r="T56" s="53">
        <v>1.38</v>
      </c>
      <c r="U56" s="53">
        <v>1.615</v>
      </c>
      <c r="V56" s="53">
        <v>0.41899999999999998</v>
      </c>
    </row>
    <row r="57" spans="1:22" s="2" customFormat="1" x14ac:dyDescent="0.3">
      <c r="A57" s="54" t="s">
        <v>224</v>
      </c>
      <c r="B57" s="51" t="s">
        <v>153</v>
      </c>
      <c r="C57" s="54" t="s">
        <v>225</v>
      </c>
      <c r="D57" s="54" t="s">
        <v>46</v>
      </c>
      <c r="E57" s="56">
        <v>15866641</v>
      </c>
      <c r="F57" s="56">
        <v>15869682</v>
      </c>
      <c r="G57" s="54" t="s">
        <v>46</v>
      </c>
      <c r="H57" s="56">
        <v>15958474</v>
      </c>
      <c r="I57" s="56">
        <v>15961515</v>
      </c>
      <c r="J57" s="57">
        <v>31.231000000000002</v>
      </c>
      <c r="K57" s="57">
        <v>6.931</v>
      </c>
      <c r="L57" s="57">
        <v>38.161000000000001</v>
      </c>
      <c r="M57" s="57">
        <v>9.9000000000000005E-2</v>
      </c>
      <c r="N57" s="57">
        <v>1.022</v>
      </c>
      <c r="O57" s="57">
        <v>0.35899999999999999</v>
      </c>
      <c r="P57" s="57">
        <v>0.21199999999999999</v>
      </c>
      <c r="Q57" s="57">
        <v>0</v>
      </c>
      <c r="R57" s="57">
        <v>0.98699999999999999</v>
      </c>
      <c r="S57" s="57">
        <v>5.5670000000000002</v>
      </c>
      <c r="T57" s="57">
        <v>5.5979999999999999</v>
      </c>
      <c r="U57" s="57">
        <v>5.5830000000000002</v>
      </c>
      <c r="V57" s="57">
        <v>1.381</v>
      </c>
    </row>
    <row r="59" spans="1:22" s="49" customFormat="1" ht="15.6" x14ac:dyDescent="0.3">
      <c r="A59" s="48" t="s">
        <v>226</v>
      </c>
    </row>
    <row r="60" spans="1:22" ht="34.200000000000003" customHeight="1" x14ac:dyDescent="0.3">
      <c r="A60" s="47" t="s">
        <v>227</v>
      </c>
      <c r="B60" s="42" t="s">
        <v>228</v>
      </c>
      <c r="C60" s="45"/>
      <c r="D60" s="45"/>
      <c r="E60" s="45"/>
      <c r="F60" s="45"/>
      <c r="G60" s="45"/>
      <c r="H60" s="45"/>
      <c r="I60" s="45"/>
      <c r="J60" s="45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</row>
    <row r="61" spans="1:22" ht="42" customHeight="1" x14ac:dyDescent="0.3">
      <c r="A61" s="47" t="s">
        <v>229</v>
      </c>
      <c r="B61" s="42" t="s">
        <v>230</v>
      </c>
      <c r="C61" s="45"/>
      <c r="D61" s="45"/>
      <c r="E61" s="45"/>
      <c r="F61" s="45"/>
      <c r="G61" s="45"/>
      <c r="H61" s="45"/>
      <c r="I61" s="45"/>
      <c r="J61" s="45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</row>
    <row r="62" spans="1:22" ht="42" customHeight="1" x14ac:dyDescent="0.3">
      <c r="A62" s="47" t="s">
        <v>231</v>
      </c>
      <c r="B62" s="42" t="s">
        <v>232</v>
      </c>
      <c r="C62" s="45"/>
      <c r="D62" s="45"/>
      <c r="E62" s="45"/>
      <c r="F62" s="45"/>
      <c r="G62" s="45"/>
      <c r="H62" s="45"/>
      <c r="I62" s="45"/>
      <c r="J62" s="45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</row>
    <row r="63" spans="1:22" ht="20.399999999999999" customHeight="1" x14ac:dyDescent="0.3">
      <c r="A63" s="47" t="s">
        <v>233</v>
      </c>
      <c r="B63" s="42" t="s">
        <v>234</v>
      </c>
      <c r="C63" s="45"/>
      <c r="D63" s="45"/>
      <c r="E63" s="45"/>
      <c r="F63" s="45"/>
      <c r="G63" s="45"/>
      <c r="H63" s="45"/>
      <c r="I63" s="45"/>
      <c r="J63" s="4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</row>
    <row r="64" spans="1:22" ht="31.8" customHeight="1" x14ac:dyDescent="0.3">
      <c r="A64" s="47" t="s">
        <v>235</v>
      </c>
      <c r="B64" s="42" t="s">
        <v>236</v>
      </c>
      <c r="C64" s="45"/>
      <c r="D64" s="45"/>
      <c r="E64" s="45"/>
      <c r="F64" s="45"/>
      <c r="G64" s="45"/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</row>
    <row r="65" spans="1:22" ht="30" customHeight="1" x14ac:dyDescent="0.3">
      <c r="A65" s="47" t="s">
        <v>237</v>
      </c>
      <c r="B65" s="42" t="s">
        <v>238</v>
      </c>
      <c r="C65" s="45"/>
      <c r="D65" s="45"/>
      <c r="E65" s="45"/>
      <c r="F65" s="45"/>
      <c r="G65" s="45"/>
      <c r="H65" s="45"/>
      <c r="I65" s="45"/>
      <c r="J65" s="45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</row>
    <row r="66" spans="1:22" ht="23.4" customHeight="1" x14ac:dyDescent="0.3">
      <c r="A66" s="47" t="s">
        <v>239</v>
      </c>
      <c r="B66" s="42" t="s">
        <v>240</v>
      </c>
      <c r="C66" s="45"/>
      <c r="D66" s="45"/>
      <c r="E66" s="45"/>
      <c r="F66" s="45"/>
      <c r="G66" s="45"/>
      <c r="H66" s="45"/>
      <c r="I66" s="45"/>
      <c r="J66" s="45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</row>
    <row r="67" spans="1:22" ht="34.200000000000003" customHeight="1" x14ac:dyDescent="0.3">
      <c r="A67" s="47" t="s">
        <v>241</v>
      </c>
      <c r="B67" s="42" t="s">
        <v>242</v>
      </c>
      <c r="C67" s="45"/>
      <c r="D67" s="45"/>
      <c r="E67" s="45"/>
      <c r="F67" s="45"/>
      <c r="G67" s="45"/>
      <c r="H67" s="45"/>
      <c r="I67" s="45"/>
      <c r="J67" s="4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</row>
    <row r="68" spans="1:22" ht="31.2" customHeight="1" x14ac:dyDescent="0.3">
      <c r="A68" s="47" t="s">
        <v>243</v>
      </c>
      <c r="B68" s="42" t="s">
        <v>244</v>
      </c>
      <c r="C68" s="45"/>
      <c r="D68" s="45"/>
      <c r="E68" s="45"/>
      <c r="F68" s="45"/>
      <c r="G68" s="45"/>
      <c r="H68" s="45"/>
      <c r="I68" s="45"/>
      <c r="J68" s="45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</row>
    <row r="69" spans="1:22" ht="31.8" customHeight="1" x14ac:dyDescent="0.3">
      <c r="A69" s="47" t="s">
        <v>245</v>
      </c>
      <c r="B69" s="42" t="s">
        <v>246</v>
      </c>
      <c r="C69" s="45"/>
      <c r="D69" s="45"/>
      <c r="E69" s="45"/>
      <c r="F69" s="45"/>
      <c r="G69" s="45"/>
      <c r="H69" s="45"/>
      <c r="I69" s="45"/>
      <c r="J69" s="45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</row>
    <row r="70" spans="1:22" ht="34.200000000000003" customHeight="1" x14ac:dyDescent="0.3">
      <c r="A70" s="47" t="s">
        <v>247</v>
      </c>
      <c r="B70" s="42" t="s">
        <v>248</v>
      </c>
      <c r="C70" s="45"/>
      <c r="D70" s="45"/>
      <c r="E70" s="45"/>
      <c r="F70" s="45"/>
      <c r="G70" s="45"/>
      <c r="H70" s="45"/>
      <c r="I70" s="45"/>
      <c r="J70" s="45"/>
      <c r="K70" s="45"/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45"/>
    </row>
    <row r="71" spans="1:22" ht="42" customHeight="1" x14ac:dyDescent="0.3">
      <c r="A71" s="47" t="s">
        <v>249</v>
      </c>
      <c r="B71" s="42" t="s">
        <v>250</v>
      </c>
      <c r="C71" s="45"/>
      <c r="D71" s="45"/>
      <c r="E71" s="45"/>
      <c r="F71" s="45"/>
      <c r="G71" s="45"/>
      <c r="H71" s="45"/>
      <c r="I71" s="45"/>
      <c r="J71" s="45"/>
      <c r="K71" s="45"/>
      <c r="L71" s="45"/>
      <c r="M71" s="45"/>
      <c r="N71" s="45"/>
      <c r="O71" s="45"/>
      <c r="P71" s="45"/>
      <c r="Q71" s="45"/>
      <c r="R71" s="45"/>
      <c r="S71" s="45"/>
      <c r="T71" s="45"/>
      <c r="U71" s="45"/>
      <c r="V71" s="45"/>
    </row>
  </sheetData>
  <mergeCells count="1">
    <mergeCell ref="A1:XFD1"/>
  </mergeCells>
  <pageMargins left="0.75" right="0.75" top="1" bottom="1" header="0.5" footer="0.5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85F89-5A0F-4591-81EE-03CD9D483C1D}">
  <dimension ref="A1:H21"/>
  <sheetViews>
    <sheetView workbookViewId="0">
      <selection activeCell="E26" sqref="E26"/>
    </sheetView>
  </sheetViews>
  <sheetFormatPr defaultRowHeight="14.4" x14ac:dyDescent="0.3"/>
  <cols>
    <col min="1" max="1" width="34" customWidth="1"/>
    <col min="2" max="2" width="14" customWidth="1"/>
    <col min="3" max="3" width="8" customWidth="1"/>
    <col min="4" max="7" width="14" customWidth="1"/>
    <col min="8" max="8" width="44" customWidth="1"/>
  </cols>
  <sheetData>
    <row r="1" spans="1:8" s="80" customFormat="1" ht="18" x14ac:dyDescent="0.35">
      <c r="A1" s="80" t="s">
        <v>251</v>
      </c>
    </row>
    <row r="2" spans="1:8" ht="0.6" customHeight="1" x14ac:dyDescent="0.3"/>
    <row r="3" spans="1:8" x14ac:dyDescent="0.3">
      <c r="A3" s="46" t="s">
        <v>252</v>
      </c>
      <c r="B3" s="46" t="s">
        <v>49</v>
      </c>
      <c r="C3" s="46" t="s">
        <v>253</v>
      </c>
      <c r="D3" s="46" t="s">
        <v>254</v>
      </c>
      <c r="E3" s="46" t="s">
        <v>255</v>
      </c>
      <c r="F3" s="46" t="s">
        <v>256</v>
      </c>
      <c r="G3" s="46" t="s">
        <v>257</v>
      </c>
      <c r="H3" s="46" t="s">
        <v>258</v>
      </c>
    </row>
    <row r="4" spans="1:8" x14ac:dyDescent="0.3">
      <c r="A4" s="42" t="s">
        <v>141</v>
      </c>
      <c r="B4" s="44" t="s">
        <v>155</v>
      </c>
      <c r="C4" s="42">
        <v>13</v>
      </c>
      <c r="D4" s="42">
        <v>9.9410000000000007</v>
      </c>
      <c r="E4" s="42">
        <v>8.7539999999999996</v>
      </c>
      <c r="F4" s="42">
        <v>0</v>
      </c>
      <c r="G4" s="42">
        <v>30.795999999999999</v>
      </c>
      <c r="H4" s="42" t="s">
        <v>259</v>
      </c>
    </row>
    <row r="5" spans="1:8" x14ac:dyDescent="0.3">
      <c r="A5" s="42" t="s">
        <v>141</v>
      </c>
      <c r="B5" s="43" t="s">
        <v>153</v>
      </c>
      <c r="C5" s="42">
        <v>41</v>
      </c>
      <c r="D5" s="42">
        <v>17.228999999999999</v>
      </c>
      <c r="E5" s="42">
        <v>10.146000000000001</v>
      </c>
      <c r="F5" s="42">
        <v>3.335</v>
      </c>
      <c r="G5" s="42">
        <v>108.51</v>
      </c>
      <c r="H5" s="42" t="s">
        <v>259</v>
      </c>
    </row>
    <row r="6" spans="1:8" x14ac:dyDescent="0.3">
      <c r="A6" s="42" t="s">
        <v>142</v>
      </c>
      <c r="B6" s="44" t="s">
        <v>155</v>
      </c>
      <c r="C6" s="42">
        <v>13</v>
      </c>
      <c r="D6" s="42">
        <v>2.5999999999999999E-2</v>
      </c>
      <c r="E6" s="42">
        <v>-7.0000000000000001E-3</v>
      </c>
      <c r="F6" s="42">
        <v>-1.7999999999999999E-2</v>
      </c>
      <c r="G6" s="42">
        <v>0.27700000000000002</v>
      </c>
      <c r="H6" s="42" t="s">
        <v>259</v>
      </c>
    </row>
    <row r="7" spans="1:8" x14ac:dyDescent="0.3">
      <c r="A7" s="42" t="s">
        <v>142</v>
      </c>
      <c r="B7" s="43" t="s">
        <v>153</v>
      </c>
      <c r="C7" s="42">
        <v>41</v>
      </c>
      <c r="D7" s="42">
        <v>1.4999999999999999E-2</v>
      </c>
      <c r="E7" s="42">
        <v>-4.0000000000000001E-3</v>
      </c>
      <c r="F7" s="42">
        <v>-0.05</v>
      </c>
      <c r="G7" s="42">
        <v>0.23200000000000001</v>
      </c>
      <c r="H7" s="42" t="s">
        <v>259</v>
      </c>
    </row>
    <row r="8" spans="1:8" x14ac:dyDescent="0.3">
      <c r="A8" s="42" t="s">
        <v>143</v>
      </c>
      <c r="B8" s="44" t="s">
        <v>155</v>
      </c>
      <c r="C8" s="42">
        <v>13</v>
      </c>
      <c r="D8" s="42">
        <v>0.36</v>
      </c>
      <c r="E8" s="42">
        <v>0.28100000000000003</v>
      </c>
      <c r="F8" s="42">
        <v>0</v>
      </c>
      <c r="G8" s="42">
        <v>1.528</v>
      </c>
      <c r="H8" s="42" t="s">
        <v>259</v>
      </c>
    </row>
    <row r="9" spans="1:8" x14ac:dyDescent="0.3">
      <c r="A9" s="42" t="s">
        <v>143</v>
      </c>
      <c r="B9" s="43" t="s">
        <v>153</v>
      </c>
      <c r="C9" s="42">
        <v>41</v>
      </c>
      <c r="D9" s="42">
        <v>0.51600000000000001</v>
      </c>
      <c r="E9" s="42">
        <v>0.39600000000000002</v>
      </c>
      <c r="F9" s="42">
        <v>6.9000000000000006E-2</v>
      </c>
      <c r="G9" s="42">
        <v>1.7989999999999999</v>
      </c>
      <c r="H9" s="42" t="s">
        <v>259</v>
      </c>
    </row>
    <row r="10" spans="1:8" x14ac:dyDescent="0.3">
      <c r="A10" s="42" t="s">
        <v>144</v>
      </c>
      <c r="B10" s="44" t="s">
        <v>155</v>
      </c>
      <c r="C10" s="42">
        <v>13</v>
      </c>
      <c r="D10" s="42">
        <v>0.17299999999999999</v>
      </c>
      <c r="E10" s="42">
        <v>0.123</v>
      </c>
      <c r="F10" s="42">
        <v>0</v>
      </c>
      <c r="G10" s="42">
        <v>0.56100000000000005</v>
      </c>
      <c r="H10" s="42" t="s">
        <v>259</v>
      </c>
    </row>
    <row r="11" spans="1:8" x14ac:dyDescent="0.3">
      <c r="A11" s="42" t="s">
        <v>144</v>
      </c>
      <c r="B11" s="43" t="s">
        <v>153</v>
      </c>
      <c r="C11" s="42">
        <v>41</v>
      </c>
      <c r="D11" s="42">
        <v>0.28699999999999998</v>
      </c>
      <c r="E11" s="42">
        <v>0.25600000000000001</v>
      </c>
      <c r="F11" s="42">
        <v>5.7000000000000002E-2</v>
      </c>
      <c r="G11" s="42">
        <v>1.095</v>
      </c>
      <c r="H11" s="42" t="s">
        <v>259</v>
      </c>
    </row>
    <row r="12" spans="1:8" x14ac:dyDescent="0.3">
      <c r="A12" s="42" t="s">
        <v>145</v>
      </c>
      <c r="B12" s="44" t="s">
        <v>155</v>
      </c>
      <c r="C12" s="42">
        <v>13</v>
      </c>
      <c r="D12" s="42">
        <v>4.4999999999999998E-2</v>
      </c>
      <c r="E12" s="42">
        <v>3.4000000000000002E-2</v>
      </c>
      <c r="F12" s="42">
        <v>0</v>
      </c>
      <c r="G12" s="42">
        <v>0.19600000000000001</v>
      </c>
      <c r="H12" s="42" t="s">
        <v>259</v>
      </c>
    </row>
    <row r="13" spans="1:8" x14ac:dyDescent="0.3">
      <c r="A13" s="42" t="s">
        <v>145</v>
      </c>
      <c r="B13" s="43" t="s">
        <v>153</v>
      </c>
      <c r="C13" s="42">
        <v>41</v>
      </c>
      <c r="D13" s="42">
        <v>0.28399999999999997</v>
      </c>
      <c r="E13" s="42">
        <v>6.9000000000000006E-2</v>
      </c>
      <c r="F13" s="42">
        <v>0</v>
      </c>
      <c r="G13" s="42">
        <v>6.7329999999999997</v>
      </c>
      <c r="H13" s="42" t="s">
        <v>259</v>
      </c>
    </row>
    <row r="14" spans="1:8" x14ac:dyDescent="0.3">
      <c r="A14" s="42" t="s">
        <v>146</v>
      </c>
      <c r="B14" s="44" t="s">
        <v>155</v>
      </c>
      <c r="C14" s="42">
        <v>13</v>
      </c>
      <c r="D14" s="42">
        <v>1.84</v>
      </c>
      <c r="E14" s="42">
        <v>1.3129999999999999</v>
      </c>
      <c r="F14" s="42">
        <v>0</v>
      </c>
      <c r="G14" s="42">
        <v>7.7229999999999999</v>
      </c>
      <c r="H14" s="42" t="s">
        <v>259</v>
      </c>
    </row>
    <row r="15" spans="1:8" x14ac:dyDescent="0.3">
      <c r="A15" s="42" t="s">
        <v>146</v>
      </c>
      <c r="B15" s="43" t="s">
        <v>153</v>
      </c>
      <c r="C15" s="42">
        <v>41</v>
      </c>
      <c r="D15" s="42">
        <v>1.619</v>
      </c>
      <c r="E15" s="42">
        <v>1.4570000000000001</v>
      </c>
      <c r="F15" s="42">
        <v>0</v>
      </c>
      <c r="G15" s="42">
        <v>5.633</v>
      </c>
      <c r="H15" s="42" t="s">
        <v>259</v>
      </c>
    </row>
    <row r="16" spans="1:8" x14ac:dyDescent="0.3">
      <c r="A16" s="42" t="s">
        <v>147</v>
      </c>
      <c r="B16" s="44" t="s">
        <v>155</v>
      </c>
      <c r="C16" s="42">
        <v>13</v>
      </c>
      <c r="D16" s="42">
        <v>0.27400000000000002</v>
      </c>
      <c r="E16" s="42">
        <v>0.17299999999999999</v>
      </c>
      <c r="F16" s="42">
        <v>0</v>
      </c>
      <c r="G16" s="42">
        <v>0.85699999999999998</v>
      </c>
      <c r="H16" s="42" t="s">
        <v>259</v>
      </c>
    </row>
    <row r="17" spans="1:8" x14ac:dyDescent="0.3">
      <c r="A17" s="42" t="s">
        <v>147</v>
      </c>
      <c r="B17" s="43" t="s">
        <v>153</v>
      </c>
      <c r="C17" s="42">
        <v>41</v>
      </c>
      <c r="D17" s="42">
        <v>0.39900000000000002</v>
      </c>
      <c r="E17" s="42">
        <v>0.36299999999999999</v>
      </c>
      <c r="F17" s="42">
        <v>0</v>
      </c>
      <c r="G17" s="42">
        <v>1.617</v>
      </c>
      <c r="H17" s="42" t="s">
        <v>259</v>
      </c>
    </row>
    <row r="18" spans="1:8" x14ac:dyDescent="0.3">
      <c r="A18" s="42" t="s">
        <v>150</v>
      </c>
      <c r="B18" s="44" t="s">
        <v>155</v>
      </c>
      <c r="C18" s="42">
        <v>13</v>
      </c>
      <c r="D18" s="42">
        <v>1.653</v>
      </c>
      <c r="E18" s="42">
        <v>1.357</v>
      </c>
      <c r="F18" s="42">
        <v>0</v>
      </c>
      <c r="G18" s="42">
        <v>5.585</v>
      </c>
      <c r="H18" s="42" t="s">
        <v>259</v>
      </c>
    </row>
    <row r="19" spans="1:8" x14ac:dyDescent="0.3">
      <c r="A19" s="42" t="s">
        <v>150</v>
      </c>
      <c r="B19" s="43" t="s">
        <v>153</v>
      </c>
      <c r="C19" s="42">
        <v>41</v>
      </c>
      <c r="D19" s="42">
        <v>2.6579999999999999</v>
      </c>
      <c r="E19" s="42">
        <v>1.887</v>
      </c>
      <c r="F19" s="42">
        <v>0.86799999999999999</v>
      </c>
      <c r="G19" s="42">
        <v>18.268999999999998</v>
      </c>
      <c r="H19" s="42" t="s">
        <v>259</v>
      </c>
    </row>
    <row r="20" spans="1:8" ht="28.8" x14ac:dyDescent="0.3">
      <c r="A20" s="42" t="s">
        <v>151</v>
      </c>
      <c r="B20" s="44" t="s">
        <v>155</v>
      </c>
      <c r="C20" s="42">
        <v>13</v>
      </c>
      <c r="D20" s="42">
        <v>0.53200000000000003</v>
      </c>
      <c r="E20" s="42">
        <v>0.377</v>
      </c>
      <c r="F20" s="42">
        <v>0</v>
      </c>
      <c r="G20" s="42">
        <v>2.089</v>
      </c>
      <c r="H20" s="42" t="s">
        <v>259</v>
      </c>
    </row>
    <row r="21" spans="1:8" ht="28.8" x14ac:dyDescent="0.3">
      <c r="A21" s="58" t="s">
        <v>151</v>
      </c>
      <c r="B21" s="59" t="s">
        <v>153</v>
      </c>
      <c r="C21" s="58">
        <v>41</v>
      </c>
      <c r="D21" s="58">
        <v>0.80200000000000005</v>
      </c>
      <c r="E21" s="58">
        <v>0.65200000000000002</v>
      </c>
      <c r="F21" s="58">
        <v>0.126</v>
      </c>
      <c r="G21" s="58">
        <v>2.456</v>
      </c>
      <c r="H21" s="58" t="s">
        <v>259</v>
      </c>
    </row>
  </sheetData>
  <mergeCells count="1">
    <mergeCell ref="A1:XF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S1</vt:lpstr>
      <vt:lpstr>S2</vt:lpstr>
      <vt:lpstr>S3</vt:lpstr>
      <vt:lpstr>S4a</vt:lpstr>
      <vt:lpstr>S4b</vt:lpstr>
      <vt:lpstr>S5</vt:lpstr>
      <vt:lpstr>S6a</vt:lpstr>
      <vt:lpstr>S6b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Amir Ali Abbasi</cp:lastModifiedBy>
  <dcterms:created xsi:type="dcterms:W3CDTF">2026-03-02T04:58:19Z</dcterms:created>
  <dcterms:modified xsi:type="dcterms:W3CDTF">2026-07-07T07:19:39Z</dcterms:modified>
</cp:coreProperties>
</file>